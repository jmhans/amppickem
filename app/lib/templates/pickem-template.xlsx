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shoup\OneDrive - Ameriprise\Documents\NFL Pool\Week 01\"/>
    </mc:Choice>
  </mc:AlternateContent>
  <xr:revisionPtr revIDLastSave="0" documentId="13_ncr:1_{1BC3248B-0FBB-4462-B2E8-DB600F8D81B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calcs" sheetId="5" state="hidden" r:id="rId2"/>
    <sheet name="line_desc" sheetId="3" state="hidden" r:id="rId3"/>
    <sheet name="o_u_desc" sheetId="4" state="hidden" r:id="rId4"/>
  </sheets>
  <externalReferences>
    <externalReference r:id="rId5"/>
  </externalReferences>
  <definedNames>
    <definedName name="a">Sheet1!$K$7:$N$22</definedName>
    <definedName name="impossible">calcs!$E$1</definedName>
    <definedName name="_xlnm.Print_Area" localSheetId="0">Sheet1!$B$4:$N$30</definedName>
    <definedName name="team_map_no_initials">[1]TeamMap!$A$34:$B$63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" i="1" l="1"/>
  <c r="E1" i="5"/>
  <c r="D140" i="3" s="1"/>
  <c r="B104" i="3"/>
  <c r="B2" i="3"/>
  <c r="C104" i="3"/>
  <c r="D2" i="3"/>
  <c r="C2" i="3"/>
  <c r="N3" i="5"/>
  <c r="U3" i="5"/>
  <c r="AB3" i="5"/>
  <c r="AI3" i="5"/>
  <c r="M3" i="5"/>
  <c r="T3" i="5"/>
  <c r="AA3" i="5"/>
  <c r="AH3" i="5"/>
  <c r="L3" i="5"/>
  <c r="S3" i="5"/>
  <c r="Z3" i="5"/>
  <c r="AG3" i="5"/>
  <c r="K3" i="5"/>
  <c r="R3" i="5"/>
  <c r="Y3" i="5"/>
  <c r="AF3" i="5"/>
  <c r="J3" i="5"/>
  <c r="Q3" i="5"/>
  <c r="X3" i="5"/>
  <c r="AE3" i="5"/>
  <c r="I3" i="5"/>
  <c r="P3" i="5"/>
  <c r="W3" i="5"/>
  <c r="AD3" i="5"/>
  <c r="C94" i="4"/>
  <c r="B94" i="4"/>
  <c r="D2" i="4"/>
  <c r="C2" i="4"/>
  <c r="B2" i="4"/>
  <c r="C69" i="5"/>
  <c r="C73" i="5"/>
  <c r="C77" i="5"/>
  <c r="C81" i="5"/>
  <c r="C85" i="5"/>
  <c r="C89" i="5"/>
  <c r="C93" i="5"/>
  <c r="C97" i="5"/>
  <c r="C101" i="5"/>
  <c r="C105" i="5"/>
  <c r="C109" i="5"/>
  <c r="C113" i="5"/>
  <c r="C117" i="5"/>
  <c r="C121" i="5"/>
  <c r="C125" i="5"/>
  <c r="C66" i="5"/>
  <c r="C70" i="5"/>
  <c r="C74" i="5"/>
  <c r="C78" i="5"/>
  <c r="C82" i="5"/>
  <c r="C86" i="5"/>
  <c r="C90" i="5"/>
  <c r="C94" i="5"/>
  <c r="C98" i="5"/>
  <c r="C102" i="5"/>
  <c r="C106" i="5"/>
  <c r="C110" i="5"/>
  <c r="C114" i="5"/>
  <c r="C118" i="5"/>
  <c r="C122" i="5"/>
  <c r="C126" i="5"/>
  <c r="B69" i="5"/>
  <c r="B73" i="5"/>
  <c r="B77" i="5"/>
  <c r="B81" i="5"/>
  <c r="B85" i="5"/>
  <c r="B89" i="5"/>
  <c r="B93" i="5"/>
  <c r="B97" i="5"/>
  <c r="B101" i="5"/>
  <c r="B105" i="5"/>
  <c r="B109" i="5"/>
  <c r="B113" i="5"/>
  <c r="B117" i="5"/>
  <c r="B121" i="5"/>
  <c r="B125" i="5"/>
  <c r="B66" i="5"/>
  <c r="B70" i="5"/>
  <c r="B74" i="5"/>
  <c r="B78" i="5"/>
  <c r="B82" i="5"/>
  <c r="B86" i="5"/>
  <c r="B90" i="5"/>
  <c r="B94" i="5"/>
  <c r="B98" i="5"/>
  <c r="B102" i="5"/>
  <c r="B106" i="5"/>
  <c r="B110" i="5"/>
  <c r="B114" i="5"/>
  <c r="B118" i="5"/>
  <c r="B122" i="5"/>
  <c r="B126" i="5"/>
  <c r="B45" i="5"/>
  <c r="C45" i="5" s="1"/>
  <c r="D45" i="5" s="1"/>
  <c r="E44" i="5"/>
  <c r="D44" i="5"/>
  <c r="C44" i="5"/>
  <c r="B44" i="5"/>
  <c r="J24" i="5"/>
  <c r="J44" i="5"/>
  <c r="I24" i="5"/>
  <c r="I44" i="5"/>
  <c r="H24" i="5"/>
  <c r="H44" i="5"/>
  <c r="G24" i="5"/>
  <c r="G44" i="5"/>
  <c r="A95" i="4"/>
  <c r="B95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C41" i="4"/>
  <c r="A105" i="3"/>
  <c r="A3" i="3"/>
  <c r="C9" i="4"/>
  <c r="B20" i="4"/>
  <c r="D30" i="4"/>
  <c r="D10" i="4"/>
  <c r="C21" i="4"/>
  <c r="B32" i="4"/>
  <c r="B4" i="4"/>
  <c r="D14" i="4"/>
  <c r="C25" i="4"/>
  <c r="B36" i="4"/>
  <c r="C5" i="4"/>
  <c r="B16" i="4"/>
  <c r="D26" i="4"/>
  <c r="C37" i="4"/>
  <c r="D6" i="4"/>
  <c r="B12" i="4"/>
  <c r="C17" i="4"/>
  <c r="D22" i="4"/>
  <c r="B28" i="4"/>
  <c r="C33" i="4"/>
  <c r="D38" i="4"/>
  <c r="A96" i="4"/>
  <c r="C96" i="4"/>
  <c r="B8" i="4"/>
  <c r="C13" i="4"/>
  <c r="D18" i="4"/>
  <c r="B24" i="4"/>
  <c r="C29" i="4"/>
  <c r="D34" i="4"/>
  <c r="B40" i="4"/>
  <c r="A42" i="4"/>
  <c r="D41" i="4"/>
  <c r="C3" i="4"/>
  <c r="D4" i="4"/>
  <c r="B6" i="4"/>
  <c r="C7" i="4"/>
  <c r="D8" i="4"/>
  <c r="B10" i="4"/>
  <c r="C11" i="4"/>
  <c r="D12" i="4"/>
  <c r="B14" i="4"/>
  <c r="C15" i="4"/>
  <c r="D16" i="4"/>
  <c r="B18" i="4"/>
  <c r="C19" i="4"/>
  <c r="D20" i="4"/>
  <c r="B22" i="4"/>
  <c r="C23" i="4"/>
  <c r="D24" i="4"/>
  <c r="B26" i="4"/>
  <c r="C27" i="4"/>
  <c r="D28" i="4"/>
  <c r="B30" i="4"/>
  <c r="C31" i="4"/>
  <c r="D32" i="4"/>
  <c r="B34" i="4"/>
  <c r="C35" i="4"/>
  <c r="D36" i="4"/>
  <c r="B38" i="4"/>
  <c r="C39" i="4"/>
  <c r="D40" i="4"/>
  <c r="B3" i="3"/>
  <c r="D3" i="3"/>
  <c r="C3" i="3"/>
  <c r="B96" i="4"/>
  <c r="D3" i="4"/>
  <c r="B5" i="4"/>
  <c r="C6" i="4"/>
  <c r="D7" i="4"/>
  <c r="B9" i="4"/>
  <c r="C10" i="4"/>
  <c r="D11" i="4"/>
  <c r="B13" i="4"/>
  <c r="C14" i="4"/>
  <c r="D15" i="4"/>
  <c r="B17" i="4"/>
  <c r="C18" i="4"/>
  <c r="D19" i="4"/>
  <c r="B21" i="4"/>
  <c r="C22" i="4"/>
  <c r="D23" i="4"/>
  <c r="B25" i="4"/>
  <c r="C26" i="4"/>
  <c r="D27" i="4"/>
  <c r="B29" i="4"/>
  <c r="C30" i="4"/>
  <c r="D31" i="4"/>
  <c r="B33" i="4"/>
  <c r="C34" i="4"/>
  <c r="D35" i="4"/>
  <c r="B37" i="4"/>
  <c r="C38" i="4"/>
  <c r="D39" i="4"/>
  <c r="B41" i="4"/>
  <c r="B105" i="3"/>
  <c r="C105" i="3"/>
  <c r="B3" i="4"/>
  <c r="C4" i="4"/>
  <c r="D5" i="4"/>
  <c r="B7" i="4"/>
  <c r="C8" i="4"/>
  <c r="D9" i="4"/>
  <c r="B11" i="4"/>
  <c r="C12" i="4"/>
  <c r="D13" i="4"/>
  <c r="B15" i="4"/>
  <c r="C16" i="4"/>
  <c r="D17" i="4"/>
  <c r="B19" i="4"/>
  <c r="C20" i="4"/>
  <c r="D21" i="4"/>
  <c r="B23" i="4"/>
  <c r="C24" i="4"/>
  <c r="D25" i="4"/>
  <c r="B27" i="4"/>
  <c r="C28" i="4"/>
  <c r="D29" i="4"/>
  <c r="B31" i="4"/>
  <c r="C32" i="4"/>
  <c r="D33" i="4"/>
  <c r="B35" i="4"/>
  <c r="C36" i="4"/>
  <c r="D37" i="4"/>
  <c r="B39" i="4"/>
  <c r="C40" i="4"/>
  <c r="C95" i="4"/>
  <c r="B67" i="5"/>
  <c r="C67" i="5"/>
  <c r="A4" i="3"/>
  <c r="A106" i="3"/>
  <c r="A97" i="4"/>
  <c r="B4" i="3"/>
  <c r="C4" i="3"/>
  <c r="D4" i="3"/>
  <c r="A98" i="4"/>
  <c r="B97" i="4"/>
  <c r="C97" i="4"/>
  <c r="B106" i="3"/>
  <c r="C106" i="3"/>
  <c r="A43" i="4"/>
  <c r="B42" i="4"/>
  <c r="D42" i="4"/>
  <c r="C42" i="4"/>
  <c r="C68" i="5"/>
  <c r="C72" i="5"/>
  <c r="C76" i="5"/>
  <c r="C80" i="5"/>
  <c r="C84" i="5"/>
  <c r="C88" i="5"/>
  <c r="C92" i="5"/>
  <c r="C96" i="5"/>
  <c r="C100" i="5"/>
  <c r="C104" i="5"/>
  <c r="C108" i="5"/>
  <c r="C112" i="5"/>
  <c r="C116" i="5"/>
  <c r="C120" i="5"/>
  <c r="C124" i="5"/>
  <c r="C128" i="5"/>
  <c r="C71" i="5"/>
  <c r="C75" i="5"/>
  <c r="C79" i="5"/>
  <c r="C83" i="5"/>
  <c r="C87" i="5"/>
  <c r="C91" i="5"/>
  <c r="C95" i="5"/>
  <c r="C99" i="5"/>
  <c r="C103" i="5"/>
  <c r="C107" i="5"/>
  <c r="C111" i="5"/>
  <c r="C115" i="5"/>
  <c r="C119" i="5"/>
  <c r="C123" i="5"/>
  <c r="C127" i="5"/>
  <c r="B68" i="5"/>
  <c r="B71" i="5"/>
  <c r="A5" i="3"/>
  <c r="A107" i="3"/>
  <c r="B5" i="3"/>
  <c r="D5" i="3"/>
  <c r="C5" i="3"/>
  <c r="A99" i="4"/>
  <c r="B98" i="4"/>
  <c r="C98" i="4"/>
  <c r="B72" i="5"/>
  <c r="A44" i="4"/>
  <c r="B43" i="4"/>
  <c r="D43" i="4"/>
  <c r="C43" i="4"/>
  <c r="C107" i="3"/>
  <c r="B107" i="3"/>
  <c r="B76" i="5"/>
  <c r="B75" i="5"/>
  <c r="A108" i="3"/>
  <c r="A6" i="3"/>
  <c r="A100" i="4"/>
  <c r="B99" i="4"/>
  <c r="C99" i="4"/>
  <c r="C6" i="3"/>
  <c r="B6" i="3"/>
  <c r="D6" i="3"/>
  <c r="A45" i="4"/>
  <c r="C44" i="4"/>
  <c r="B44" i="4"/>
  <c r="D44" i="4"/>
  <c r="B108" i="3"/>
  <c r="C108" i="3"/>
  <c r="B79" i="5"/>
  <c r="B80" i="5"/>
  <c r="A7" i="3"/>
  <c r="A109" i="3"/>
  <c r="B109" i="3"/>
  <c r="C109" i="3"/>
  <c r="B7" i="3"/>
  <c r="D7" i="3"/>
  <c r="C7" i="3"/>
  <c r="A101" i="4"/>
  <c r="B100" i="4"/>
  <c r="C100" i="4"/>
  <c r="A46" i="4"/>
  <c r="D45" i="4"/>
  <c r="C45" i="4"/>
  <c r="B45" i="4"/>
  <c r="B84" i="5"/>
  <c r="B83" i="5"/>
  <c r="A110" i="3"/>
  <c r="A8" i="3"/>
  <c r="B110" i="3"/>
  <c r="C110" i="3"/>
  <c r="B8" i="3"/>
  <c r="C8" i="3"/>
  <c r="D8" i="3"/>
  <c r="A47" i="4"/>
  <c r="D46" i="4"/>
  <c r="C46" i="4"/>
  <c r="B46" i="4"/>
  <c r="A102" i="4"/>
  <c r="B101" i="4"/>
  <c r="C101" i="4"/>
  <c r="B88" i="5"/>
  <c r="B87" i="5"/>
  <c r="A9" i="3"/>
  <c r="A111" i="3"/>
  <c r="D9" i="3"/>
  <c r="B9" i="3"/>
  <c r="C9" i="3"/>
  <c r="A48" i="4"/>
  <c r="B47" i="4"/>
  <c r="D47" i="4"/>
  <c r="C47" i="4"/>
  <c r="C111" i="3"/>
  <c r="B111" i="3"/>
  <c r="A103" i="4"/>
  <c r="B102" i="4"/>
  <c r="C102" i="4"/>
  <c r="B92" i="5"/>
  <c r="B91" i="5"/>
  <c r="A112" i="3"/>
  <c r="A10" i="3"/>
  <c r="B112" i="3"/>
  <c r="C112" i="3"/>
  <c r="A104" i="4"/>
  <c r="B103" i="4"/>
  <c r="C103" i="4"/>
  <c r="A49" i="4"/>
  <c r="C48" i="4"/>
  <c r="B48" i="4"/>
  <c r="D48" i="4"/>
  <c r="C10" i="3"/>
  <c r="B10" i="3"/>
  <c r="D10" i="3"/>
  <c r="B95" i="5"/>
  <c r="B96" i="5"/>
  <c r="A11" i="3"/>
  <c r="A113" i="3"/>
  <c r="A105" i="4"/>
  <c r="B104" i="4"/>
  <c r="C104" i="4"/>
  <c r="B113" i="3"/>
  <c r="C113" i="3"/>
  <c r="A50" i="4"/>
  <c r="D49" i="4"/>
  <c r="C49" i="4"/>
  <c r="B49" i="4"/>
  <c r="B11" i="3"/>
  <c r="D11" i="3"/>
  <c r="C11" i="3"/>
  <c r="B100" i="5"/>
  <c r="B99" i="5"/>
  <c r="A114" i="3"/>
  <c r="A12" i="3"/>
  <c r="B114" i="3"/>
  <c r="C114" i="3"/>
  <c r="B12" i="3"/>
  <c r="C12" i="3"/>
  <c r="D12" i="3"/>
  <c r="A51" i="4"/>
  <c r="C50" i="4"/>
  <c r="D50" i="4"/>
  <c r="B50" i="4"/>
  <c r="A106" i="4"/>
  <c r="B105" i="4"/>
  <c r="C105" i="4"/>
  <c r="B103" i="5"/>
  <c r="B104" i="5"/>
  <c r="A13" i="3"/>
  <c r="A115" i="3"/>
  <c r="B13" i="3"/>
  <c r="D13" i="3"/>
  <c r="C13" i="3"/>
  <c r="A107" i="4"/>
  <c r="B106" i="4"/>
  <c r="C106" i="4"/>
  <c r="A52" i="4"/>
  <c r="D51" i="4"/>
  <c r="B51" i="4"/>
  <c r="C51" i="4"/>
  <c r="C115" i="3"/>
  <c r="B115" i="3"/>
  <c r="B108" i="5"/>
  <c r="B107" i="5"/>
  <c r="A116" i="3"/>
  <c r="A14" i="3"/>
  <c r="A108" i="4"/>
  <c r="B107" i="4"/>
  <c r="C107" i="4"/>
  <c r="C14" i="3"/>
  <c r="B14" i="3"/>
  <c r="D14" i="3"/>
  <c r="A53" i="4"/>
  <c r="C52" i="4"/>
  <c r="B52" i="4"/>
  <c r="D52" i="4"/>
  <c r="B116" i="3"/>
  <c r="C116" i="3"/>
  <c r="B111" i="5"/>
  <c r="B112" i="5"/>
  <c r="A15" i="3"/>
  <c r="A117" i="3"/>
  <c r="B15" i="3"/>
  <c r="D15" i="3"/>
  <c r="C15" i="3"/>
  <c r="B117" i="3"/>
  <c r="C117" i="3"/>
  <c r="A54" i="4"/>
  <c r="B53" i="4"/>
  <c r="D53" i="4"/>
  <c r="C53" i="4"/>
  <c r="A109" i="4"/>
  <c r="B108" i="4"/>
  <c r="C108" i="4"/>
  <c r="B116" i="5"/>
  <c r="B115" i="5"/>
  <c r="A118" i="3"/>
  <c r="A16" i="3"/>
  <c r="B16" i="3"/>
  <c r="C16" i="3"/>
  <c r="D16" i="3"/>
  <c r="A110" i="4"/>
  <c r="B109" i="4"/>
  <c r="C109" i="4"/>
  <c r="A55" i="4"/>
  <c r="C54" i="4"/>
  <c r="D54" i="4"/>
  <c r="B54" i="4"/>
  <c r="B118" i="3"/>
  <c r="C118" i="3"/>
  <c r="B119" i="5"/>
  <c r="B120" i="5"/>
  <c r="A17" i="3"/>
  <c r="A119" i="3"/>
  <c r="A111" i="4"/>
  <c r="B110" i="4"/>
  <c r="C110" i="4"/>
  <c r="A56" i="4"/>
  <c r="D55" i="4"/>
  <c r="B55" i="4"/>
  <c r="C55" i="4"/>
  <c r="C119" i="3"/>
  <c r="B119" i="3"/>
  <c r="D17" i="3"/>
  <c r="B17" i="3"/>
  <c r="C17" i="3"/>
  <c r="B124" i="5"/>
  <c r="B123" i="5"/>
  <c r="A120" i="3"/>
  <c r="A18" i="3"/>
  <c r="C18" i="3"/>
  <c r="B18" i="3"/>
  <c r="D18" i="3"/>
  <c r="A57" i="4"/>
  <c r="C56" i="4"/>
  <c r="B56" i="4"/>
  <c r="D56" i="4"/>
  <c r="B120" i="3"/>
  <c r="C120" i="3"/>
  <c r="A112" i="4"/>
  <c r="B111" i="4"/>
  <c r="C111" i="4"/>
  <c r="B127" i="5"/>
  <c r="B128" i="5"/>
  <c r="A19" i="3"/>
  <c r="A121" i="3"/>
  <c r="A58" i="4"/>
  <c r="B57" i="4"/>
  <c r="D57" i="4"/>
  <c r="C57" i="4"/>
  <c r="B121" i="3"/>
  <c r="C121" i="3"/>
  <c r="A113" i="4"/>
  <c r="B112" i="4"/>
  <c r="C112" i="4"/>
  <c r="B19" i="3"/>
  <c r="D19" i="3"/>
  <c r="C19" i="3"/>
  <c r="A122" i="3"/>
  <c r="A20" i="3"/>
  <c r="B20" i="3"/>
  <c r="C20" i="3"/>
  <c r="D20" i="3"/>
  <c r="B122" i="3"/>
  <c r="C122" i="3"/>
  <c r="A114" i="4"/>
  <c r="B113" i="4"/>
  <c r="C113" i="4"/>
  <c r="A59" i="4"/>
  <c r="C58" i="4"/>
  <c r="D58" i="4"/>
  <c r="B58" i="4"/>
  <c r="A21" i="3"/>
  <c r="A123" i="3"/>
  <c r="C123" i="3"/>
  <c r="B123" i="3"/>
  <c r="B21" i="3"/>
  <c r="D21" i="3"/>
  <c r="C21" i="3"/>
  <c r="A115" i="4"/>
  <c r="B114" i="4"/>
  <c r="C114" i="4"/>
  <c r="A60" i="4"/>
  <c r="D59" i="4"/>
  <c r="B59" i="4"/>
  <c r="C59" i="4"/>
  <c r="A124" i="3"/>
  <c r="A22" i="3"/>
  <c r="C22" i="3"/>
  <c r="B22" i="3"/>
  <c r="D22" i="3"/>
  <c r="B124" i="3"/>
  <c r="C124" i="3"/>
  <c r="A116" i="4"/>
  <c r="B115" i="4"/>
  <c r="C115" i="4"/>
  <c r="A61" i="4"/>
  <c r="C60" i="4"/>
  <c r="B60" i="4"/>
  <c r="D60" i="4"/>
  <c r="A23" i="3"/>
  <c r="A125" i="3"/>
  <c r="B125" i="3"/>
  <c r="C125" i="3"/>
  <c r="A117" i="4"/>
  <c r="B116" i="4"/>
  <c r="C116" i="4"/>
  <c r="B23" i="3"/>
  <c r="D23" i="3"/>
  <c r="C23" i="3"/>
  <c r="A62" i="4"/>
  <c r="B61" i="4"/>
  <c r="D61" i="4"/>
  <c r="C61" i="4"/>
  <c r="A126" i="3"/>
  <c r="A24" i="3"/>
  <c r="A118" i="4"/>
  <c r="B117" i="4"/>
  <c r="C117" i="4"/>
  <c r="B24" i="3"/>
  <c r="C24" i="3"/>
  <c r="D24" i="3"/>
  <c r="B126" i="3"/>
  <c r="C126" i="3"/>
  <c r="A63" i="4"/>
  <c r="C62" i="4"/>
  <c r="D62" i="4"/>
  <c r="B62" i="4"/>
  <c r="A25" i="3"/>
  <c r="A127" i="3"/>
  <c r="C127" i="3"/>
  <c r="B127" i="3"/>
  <c r="D25" i="3"/>
  <c r="B25" i="3"/>
  <c r="C25" i="3"/>
  <c r="A64" i="4"/>
  <c r="D63" i="4"/>
  <c r="B63" i="4"/>
  <c r="C63" i="4"/>
  <c r="A119" i="4"/>
  <c r="B118" i="4"/>
  <c r="C118" i="4"/>
  <c r="A128" i="3"/>
  <c r="A26" i="3"/>
  <c r="C26" i="3"/>
  <c r="B26" i="3"/>
  <c r="D26" i="3"/>
  <c r="A120" i="4"/>
  <c r="B119" i="4"/>
  <c r="C119" i="4"/>
  <c r="A65" i="4"/>
  <c r="C64" i="4"/>
  <c r="B64" i="4"/>
  <c r="D64" i="4"/>
  <c r="B128" i="3"/>
  <c r="C128" i="3"/>
  <c r="A27" i="3"/>
  <c r="A129" i="3"/>
  <c r="A66" i="4"/>
  <c r="B65" i="4"/>
  <c r="D65" i="4"/>
  <c r="C65" i="4"/>
  <c r="A121" i="4"/>
  <c r="B120" i="4"/>
  <c r="C120" i="4"/>
  <c r="B129" i="3"/>
  <c r="C129" i="3"/>
  <c r="B27" i="3"/>
  <c r="D27" i="3"/>
  <c r="C27" i="3"/>
  <c r="A130" i="3"/>
  <c r="A28" i="3"/>
  <c r="B28" i="3"/>
  <c r="C28" i="3"/>
  <c r="D28" i="3"/>
  <c r="B130" i="3"/>
  <c r="C130" i="3"/>
  <c r="A122" i="4"/>
  <c r="B121" i="4"/>
  <c r="C121" i="4"/>
  <c r="A67" i="4"/>
  <c r="C66" i="4"/>
  <c r="D66" i="4"/>
  <c r="B66" i="4"/>
  <c r="A29" i="3"/>
  <c r="A131" i="3"/>
  <c r="C131" i="3"/>
  <c r="B131" i="3"/>
  <c r="A123" i="4"/>
  <c r="B122" i="4"/>
  <c r="C122" i="4"/>
  <c r="B29" i="3"/>
  <c r="D29" i="3"/>
  <c r="C29" i="3"/>
  <c r="A68" i="4"/>
  <c r="D67" i="4"/>
  <c r="B67" i="4"/>
  <c r="C67" i="4"/>
  <c r="A132" i="3"/>
  <c r="A30" i="3"/>
  <c r="A124" i="4"/>
  <c r="B123" i="4"/>
  <c r="C123" i="4"/>
  <c r="C30" i="3"/>
  <c r="B30" i="3"/>
  <c r="D30" i="3"/>
  <c r="B132" i="3"/>
  <c r="C132" i="3"/>
  <c r="A69" i="4"/>
  <c r="C68" i="4"/>
  <c r="B68" i="4"/>
  <c r="D68" i="4"/>
  <c r="A31" i="3"/>
  <c r="A133" i="3"/>
  <c r="B133" i="3"/>
  <c r="C133" i="3"/>
  <c r="B31" i="3"/>
  <c r="D31" i="3"/>
  <c r="C31" i="3"/>
  <c r="A70" i="4"/>
  <c r="B69" i="4"/>
  <c r="D69" i="4"/>
  <c r="C69" i="4"/>
  <c r="A125" i="4"/>
  <c r="B124" i="4"/>
  <c r="C124" i="4"/>
  <c r="A134" i="3"/>
  <c r="A32" i="3"/>
  <c r="B32" i="3"/>
  <c r="C32" i="3"/>
  <c r="D32" i="3"/>
  <c r="A126" i="4"/>
  <c r="B125" i="4"/>
  <c r="C125" i="4"/>
  <c r="A71" i="4"/>
  <c r="C70" i="4"/>
  <c r="D70" i="4"/>
  <c r="B70" i="4"/>
  <c r="B134" i="3"/>
  <c r="C134" i="3"/>
  <c r="A33" i="3"/>
  <c r="A135" i="3"/>
  <c r="D33" i="3"/>
  <c r="B33" i="3"/>
  <c r="C33" i="3"/>
  <c r="A127" i="4"/>
  <c r="B126" i="4"/>
  <c r="C126" i="4"/>
  <c r="A72" i="4"/>
  <c r="D71" i="4"/>
  <c r="B71" i="4"/>
  <c r="C71" i="4"/>
  <c r="C135" i="3"/>
  <c r="B135" i="3"/>
  <c r="A136" i="3"/>
  <c r="A34" i="3"/>
  <c r="A128" i="4"/>
  <c r="B127" i="4"/>
  <c r="C127" i="4"/>
  <c r="C34" i="3"/>
  <c r="B34" i="3"/>
  <c r="D34" i="3"/>
  <c r="A73" i="4"/>
  <c r="C72" i="4"/>
  <c r="B72" i="4"/>
  <c r="D72" i="4"/>
  <c r="B136" i="3"/>
  <c r="C136" i="3"/>
  <c r="A35" i="3"/>
  <c r="A137" i="3"/>
  <c r="A74" i="4"/>
  <c r="B73" i="4"/>
  <c r="D73" i="4"/>
  <c r="C73" i="4"/>
  <c r="B137" i="3"/>
  <c r="C137" i="3"/>
  <c r="B35" i="3"/>
  <c r="D35" i="3"/>
  <c r="C35" i="3"/>
  <c r="A129" i="4"/>
  <c r="B128" i="4"/>
  <c r="C128" i="4"/>
  <c r="A138" i="3"/>
  <c r="A36" i="3"/>
  <c r="B138" i="3"/>
  <c r="C138" i="3"/>
  <c r="B36" i="3"/>
  <c r="C36" i="3"/>
  <c r="D36" i="3"/>
  <c r="A130" i="4"/>
  <c r="B129" i="4"/>
  <c r="C129" i="4"/>
  <c r="A75" i="4"/>
  <c r="C74" i="4"/>
  <c r="D74" i="4"/>
  <c r="B74" i="4"/>
  <c r="A37" i="3"/>
  <c r="A139" i="3"/>
  <c r="C139" i="3"/>
  <c r="B139" i="3"/>
  <c r="A131" i="4"/>
  <c r="B130" i="4"/>
  <c r="C130" i="4"/>
  <c r="B37" i="3"/>
  <c r="D37" i="3"/>
  <c r="C37" i="3"/>
  <c r="A76" i="4"/>
  <c r="D75" i="4"/>
  <c r="B75" i="4"/>
  <c r="C75" i="4"/>
  <c r="A140" i="3"/>
  <c r="A38" i="3"/>
  <c r="A132" i="4"/>
  <c r="B131" i="4"/>
  <c r="C131" i="4"/>
  <c r="C38" i="3"/>
  <c r="B38" i="3"/>
  <c r="D38" i="3"/>
  <c r="B140" i="3"/>
  <c r="C140" i="3"/>
  <c r="A77" i="4"/>
  <c r="C76" i="4"/>
  <c r="B76" i="4"/>
  <c r="D76" i="4"/>
  <c r="A39" i="3"/>
  <c r="A141" i="3"/>
  <c r="A78" i="4"/>
  <c r="B77" i="4"/>
  <c r="D77" i="4"/>
  <c r="C77" i="4"/>
  <c r="B141" i="3"/>
  <c r="C141" i="3"/>
  <c r="B39" i="3"/>
  <c r="D39" i="3"/>
  <c r="C39" i="3"/>
  <c r="A133" i="4"/>
  <c r="B132" i="4"/>
  <c r="C132" i="4"/>
  <c r="A142" i="3"/>
  <c r="A40" i="3"/>
  <c r="B40" i="3"/>
  <c r="C40" i="3"/>
  <c r="D40" i="3"/>
  <c r="A134" i="4"/>
  <c r="B133" i="4"/>
  <c r="C133" i="4"/>
  <c r="A79" i="4"/>
  <c r="C78" i="4"/>
  <c r="D78" i="4"/>
  <c r="B78" i="4"/>
  <c r="B142" i="3"/>
  <c r="C142" i="3"/>
  <c r="A41" i="3"/>
  <c r="A143" i="3"/>
  <c r="A135" i="4"/>
  <c r="B134" i="4"/>
  <c r="C134" i="4"/>
  <c r="C143" i="3"/>
  <c r="B143" i="3"/>
  <c r="A80" i="4"/>
  <c r="D79" i="4"/>
  <c r="B79" i="4"/>
  <c r="C79" i="4"/>
  <c r="D41" i="3"/>
  <c r="B41" i="3"/>
  <c r="C41" i="3"/>
  <c r="A144" i="3"/>
  <c r="A42" i="3"/>
  <c r="A81" i="4"/>
  <c r="C80" i="4"/>
  <c r="B80" i="4"/>
  <c r="D80" i="4"/>
  <c r="C42" i="3"/>
  <c r="B42" i="3"/>
  <c r="D42" i="3"/>
  <c r="B144" i="3"/>
  <c r="C144" i="3"/>
  <c r="A136" i="4"/>
  <c r="B135" i="4"/>
  <c r="C135" i="4"/>
  <c r="A43" i="3"/>
  <c r="A145" i="3"/>
  <c r="B43" i="3"/>
  <c r="D43" i="3"/>
  <c r="C43" i="3"/>
  <c r="B145" i="3"/>
  <c r="C145" i="3"/>
  <c r="A137" i="4"/>
  <c r="B136" i="4"/>
  <c r="C136" i="4"/>
  <c r="A82" i="4"/>
  <c r="B81" i="4"/>
  <c r="D81" i="4"/>
  <c r="C81" i="4"/>
  <c r="A146" i="3"/>
  <c r="A44" i="3"/>
  <c r="B44" i="3"/>
  <c r="C44" i="3"/>
  <c r="D44" i="3"/>
  <c r="A138" i="4"/>
  <c r="B137" i="4"/>
  <c r="C137" i="4"/>
  <c r="B146" i="3"/>
  <c r="C146" i="3"/>
  <c r="A83" i="4"/>
  <c r="C82" i="4"/>
  <c r="D82" i="4"/>
  <c r="B82" i="4"/>
  <c r="A45" i="3"/>
  <c r="A147" i="3"/>
  <c r="A139" i="4"/>
  <c r="B138" i="4"/>
  <c r="C138" i="4"/>
  <c r="C147" i="3"/>
  <c r="B147" i="3"/>
  <c r="B45" i="3"/>
  <c r="D45" i="3"/>
  <c r="C45" i="3"/>
  <c r="A84" i="4"/>
  <c r="D83" i="4"/>
  <c r="B83" i="4"/>
  <c r="C83" i="4"/>
  <c r="A148" i="3"/>
  <c r="A46" i="3"/>
  <c r="C46" i="3"/>
  <c r="B46" i="3"/>
  <c r="D46" i="3"/>
  <c r="B148" i="3"/>
  <c r="C148" i="3"/>
  <c r="A85" i="4"/>
  <c r="C84" i="4"/>
  <c r="B84" i="4"/>
  <c r="D84" i="4"/>
  <c r="A140" i="4"/>
  <c r="B139" i="4"/>
  <c r="C139" i="4"/>
  <c r="A47" i="3"/>
  <c r="A149" i="3"/>
  <c r="B149" i="3"/>
  <c r="C149" i="3"/>
  <c r="A141" i="4"/>
  <c r="B140" i="4"/>
  <c r="C140" i="4"/>
  <c r="A86" i="4"/>
  <c r="B85" i="4"/>
  <c r="D85" i="4"/>
  <c r="C85" i="4"/>
  <c r="B47" i="3"/>
  <c r="D47" i="3"/>
  <c r="C47" i="3"/>
  <c r="A150" i="3"/>
  <c r="A48" i="3"/>
  <c r="B48" i="3"/>
  <c r="C48" i="3"/>
  <c r="D48" i="3"/>
  <c r="A87" i="4"/>
  <c r="C86" i="4"/>
  <c r="D86" i="4"/>
  <c r="B86" i="4"/>
  <c r="B150" i="3"/>
  <c r="C150" i="3"/>
  <c r="A142" i="4"/>
  <c r="B141" i="4"/>
  <c r="C141" i="4"/>
  <c r="A49" i="3"/>
  <c r="A151" i="3"/>
  <c r="C151" i="3"/>
  <c r="B151" i="3"/>
  <c r="A143" i="4"/>
  <c r="B142" i="4"/>
  <c r="C142" i="4"/>
  <c r="A88" i="4"/>
  <c r="D87" i="4"/>
  <c r="B87" i="4"/>
  <c r="C87" i="4"/>
  <c r="D49" i="3"/>
  <c r="B49" i="3"/>
  <c r="C49" i="3"/>
  <c r="A152" i="3"/>
  <c r="A50" i="3"/>
  <c r="A144" i="4"/>
  <c r="B143" i="4"/>
  <c r="C143" i="4"/>
  <c r="A89" i="4"/>
  <c r="C88" i="4"/>
  <c r="B88" i="4"/>
  <c r="D88" i="4"/>
  <c r="C50" i="3"/>
  <c r="D50" i="3"/>
  <c r="B152" i="3"/>
  <c r="C152" i="3"/>
  <c r="A51" i="3"/>
  <c r="A153" i="3"/>
  <c r="C153" i="3"/>
  <c r="D51" i="3"/>
  <c r="C51" i="3"/>
  <c r="A90" i="4"/>
  <c r="B89" i="4"/>
  <c r="D89" i="4"/>
  <c r="C89" i="4"/>
  <c r="A145" i="4"/>
  <c r="B144" i="4"/>
  <c r="C144" i="4"/>
  <c r="A154" i="3"/>
  <c r="A155" i="3"/>
  <c r="A156" i="3"/>
  <c r="B156" i="3"/>
  <c r="A52" i="3"/>
  <c r="A53" i="3"/>
  <c r="B53" i="3"/>
  <c r="D53" i="3"/>
  <c r="A146" i="4"/>
  <c r="B145" i="4"/>
  <c r="C145" i="4"/>
  <c r="A91" i="4"/>
  <c r="C90" i="4"/>
  <c r="D90" i="4"/>
  <c r="B90" i="4"/>
  <c r="A54" i="3"/>
  <c r="A157" i="3"/>
  <c r="B157" i="3"/>
  <c r="C157" i="3"/>
  <c r="A147" i="4"/>
  <c r="B146" i="4"/>
  <c r="C146" i="4"/>
  <c r="D54" i="3"/>
  <c r="B54" i="3"/>
  <c r="A92" i="4"/>
  <c r="D91" i="4"/>
  <c r="B91" i="4"/>
  <c r="C91" i="4"/>
  <c r="A158" i="3"/>
  <c r="A55" i="3"/>
  <c r="C92" i="4"/>
  <c r="B92" i="4"/>
  <c r="D92" i="4"/>
  <c r="A148" i="4"/>
  <c r="B147" i="4"/>
  <c r="C147" i="4"/>
  <c r="C158" i="3"/>
  <c r="B158" i="3"/>
  <c r="B55" i="3"/>
  <c r="C55" i="3"/>
  <c r="D55" i="3"/>
  <c r="A56" i="3"/>
  <c r="A159" i="3"/>
  <c r="A149" i="4"/>
  <c r="B148" i="4"/>
  <c r="C148" i="4"/>
  <c r="C56" i="3"/>
  <c r="D56" i="3"/>
  <c r="B56" i="3"/>
  <c r="C159" i="3"/>
  <c r="B159" i="3"/>
  <c r="A160" i="3"/>
  <c r="A57" i="3"/>
  <c r="C57" i="3"/>
  <c r="B57" i="3"/>
  <c r="D57" i="3"/>
  <c r="B160" i="3"/>
  <c r="C160" i="3"/>
  <c r="A150" i="4"/>
  <c r="B149" i="4"/>
  <c r="C149" i="4"/>
  <c r="A58" i="3"/>
  <c r="A161" i="3"/>
  <c r="B161" i="3"/>
  <c r="C161" i="3"/>
  <c r="A151" i="4"/>
  <c r="B150" i="4"/>
  <c r="C150" i="4"/>
  <c r="C58" i="3"/>
  <c r="D58" i="3"/>
  <c r="B58" i="3"/>
  <c r="A162" i="3"/>
  <c r="A59" i="3"/>
  <c r="A152" i="4"/>
  <c r="B151" i="4"/>
  <c r="C151" i="4"/>
  <c r="B59" i="3"/>
  <c r="C59" i="3"/>
  <c r="D59" i="3"/>
  <c r="C162" i="3"/>
  <c r="B162" i="3"/>
  <c r="A60" i="3"/>
  <c r="A163" i="3"/>
  <c r="B163" i="3"/>
  <c r="C163" i="3"/>
  <c r="C60" i="3"/>
  <c r="D60" i="3"/>
  <c r="B60" i="3"/>
  <c r="A153" i="4"/>
  <c r="B152" i="4"/>
  <c r="C152" i="4"/>
  <c r="A164" i="3"/>
  <c r="A61" i="3"/>
  <c r="C61" i="3"/>
  <c r="B61" i="3"/>
  <c r="D61" i="3"/>
  <c r="A154" i="4"/>
  <c r="B153" i="4"/>
  <c r="C153" i="4"/>
  <c r="B164" i="3"/>
  <c r="C164" i="3"/>
  <c r="A62" i="3"/>
  <c r="A165" i="3"/>
  <c r="B165" i="3"/>
  <c r="C165" i="3"/>
  <c r="A155" i="4"/>
  <c r="B154" i="4"/>
  <c r="C154" i="4"/>
  <c r="D62" i="3"/>
  <c r="C62" i="3"/>
  <c r="B62" i="3"/>
  <c r="A166" i="3"/>
  <c r="A63" i="3"/>
  <c r="B63" i="3"/>
  <c r="C63" i="3"/>
  <c r="D63" i="3"/>
  <c r="A156" i="4"/>
  <c r="B155" i="4"/>
  <c r="C155" i="4"/>
  <c r="C166" i="3"/>
  <c r="B166" i="3"/>
  <c r="A64" i="3"/>
  <c r="A167" i="3"/>
  <c r="C64" i="3"/>
  <c r="D64" i="3"/>
  <c r="B64" i="3"/>
  <c r="A157" i="4"/>
  <c r="B156" i="4"/>
  <c r="C156" i="4"/>
  <c r="B167" i="3"/>
  <c r="C167" i="3"/>
  <c r="A168" i="3"/>
  <c r="A65" i="3"/>
  <c r="C65" i="3"/>
  <c r="B65" i="3"/>
  <c r="D65" i="3"/>
  <c r="B168" i="3"/>
  <c r="C168" i="3"/>
  <c r="A158" i="4"/>
  <c r="B157" i="4"/>
  <c r="C157" i="4"/>
  <c r="A66" i="3"/>
  <c r="A169" i="3"/>
  <c r="B169" i="3"/>
  <c r="C169" i="3"/>
  <c r="C66" i="3"/>
  <c r="D66" i="3"/>
  <c r="B66" i="3"/>
  <c r="A159" i="4"/>
  <c r="B158" i="4"/>
  <c r="C158" i="4"/>
  <c r="A170" i="3"/>
  <c r="A67" i="3"/>
  <c r="B67" i="3"/>
  <c r="C67" i="3"/>
  <c r="D67" i="3"/>
  <c r="A160" i="4"/>
  <c r="B159" i="4"/>
  <c r="C159" i="4"/>
  <c r="C170" i="3"/>
  <c r="B170" i="3"/>
  <c r="A68" i="3"/>
  <c r="A171" i="3"/>
  <c r="C68" i="3"/>
  <c r="D68" i="3"/>
  <c r="B68" i="3"/>
  <c r="A161" i="4"/>
  <c r="B160" i="4"/>
  <c r="C160" i="4"/>
  <c r="C171" i="3"/>
  <c r="B171" i="3"/>
  <c r="A172" i="3"/>
  <c r="A69" i="3"/>
  <c r="A162" i="4"/>
  <c r="B161" i="4"/>
  <c r="C161" i="4"/>
  <c r="C69" i="3"/>
  <c r="B69" i="3"/>
  <c r="D69" i="3"/>
  <c r="B172" i="3"/>
  <c r="C172" i="3"/>
  <c r="A70" i="3"/>
  <c r="A173" i="3"/>
  <c r="B173" i="3"/>
  <c r="C173" i="3"/>
  <c r="D70" i="3"/>
  <c r="C70" i="3"/>
  <c r="B70" i="3"/>
  <c r="A163" i="4"/>
  <c r="B162" i="4"/>
  <c r="C162" i="4"/>
  <c r="A174" i="3"/>
  <c r="A71" i="3"/>
  <c r="B71" i="3"/>
  <c r="C71" i="3"/>
  <c r="D71" i="3"/>
  <c r="A164" i="4"/>
  <c r="B163" i="4"/>
  <c r="C163" i="4"/>
  <c r="C174" i="3"/>
  <c r="B174" i="3"/>
  <c r="A72" i="3"/>
  <c r="A175" i="3"/>
  <c r="A165" i="4"/>
  <c r="B164" i="4"/>
  <c r="C164" i="4"/>
  <c r="C72" i="3"/>
  <c r="D72" i="3"/>
  <c r="B72" i="3"/>
  <c r="C175" i="3"/>
  <c r="B175" i="3"/>
  <c r="A176" i="3"/>
  <c r="A73" i="3"/>
  <c r="C73" i="3"/>
  <c r="B73" i="3"/>
  <c r="D73" i="3"/>
  <c r="B176" i="3"/>
  <c r="C176" i="3"/>
  <c r="A166" i="4"/>
  <c r="B165" i="4"/>
  <c r="C165" i="4"/>
  <c r="A74" i="3"/>
  <c r="A177" i="3"/>
  <c r="B177" i="3"/>
  <c r="C177" i="3"/>
  <c r="A167" i="4"/>
  <c r="B166" i="4"/>
  <c r="C166" i="4"/>
  <c r="C74" i="3"/>
  <c r="D74" i="3"/>
  <c r="B74" i="3"/>
  <c r="A178" i="3"/>
  <c r="A75" i="3"/>
  <c r="A168" i="4"/>
  <c r="B167" i="4"/>
  <c r="C167" i="4"/>
  <c r="B75" i="3"/>
  <c r="C75" i="3"/>
  <c r="D75" i="3"/>
  <c r="C178" i="3"/>
  <c r="B178" i="3"/>
  <c r="A76" i="3"/>
  <c r="A179" i="3"/>
  <c r="B179" i="3"/>
  <c r="C179" i="3"/>
  <c r="C76" i="3"/>
  <c r="D76" i="3"/>
  <c r="B76" i="3"/>
  <c r="A169" i="4"/>
  <c r="B168" i="4"/>
  <c r="C168" i="4"/>
  <c r="A180" i="3"/>
  <c r="A77" i="3"/>
  <c r="B180" i="3"/>
  <c r="C180" i="3"/>
  <c r="C77" i="3"/>
  <c r="B77" i="3"/>
  <c r="D77" i="3"/>
  <c r="A170" i="4"/>
  <c r="B169" i="4"/>
  <c r="C169" i="4"/>
  <c r="A78" i="3"/>
  <c r="A181" i="3"/>
  <c r="B181" i="3"/>
  <c r="C181" i="3"/>
  <c r="A171" i="4"/>
  <c r="B170" i="4"/>
  <c r="C170" i="4"/>
  <c r="D78" i="3"/>
  <c r="C78" i="3"/>
  <c r="B78" i="3"/>
  <c r="A182" i="3"/>
  <c r="A79" i="3"/>
  <c r="A172" i="4"/>
  <c r="B171" i="4"/>
  <c r="C171" i="4"/>
  <c r="B79" i="3"/>
  <c r="C79" i="3"/>
  <c r="D79" i="3"/>
  <c r="C182" i="3"/>
  <c r="B182" i="3"/>
  <c r="A80" i="3"/>
  <c r="A183" i="3"/>
  <c r="C183" i="3"/>
  <c r="B183" i="3"/>
  <c r="C80" i="3"/>
  <c r="D80" i="3"/>
  <c r="B80" i="3"/>
  <c r="A173" i="4"/>
  <c r="B172" i="4"/>
  <c r="C172" i="4"/>
  <c r="A184" i="3"/>
  <c r="A81" i="3"/>
  <c r="C81" i="3"/>
  <c r="B81" i="3"/>
  <c r="D81" i="3"/>
  <c r="A174" i="4"/>
  <c r="B173" i="4"/>
  <c r="C173" i="4"/>
  <c r="B184" i="3"/>
  <c r="C184" i="3"/>
  <c r="A82" i="3"/>
  <c r="A185" i="3"/>
  <c r="A175" i="4"/>
  <c r="B174" i="4"/>
  <c r="C174" i="4"/>
  <c r="B185" i="3"/>
  <c r="C185" i="3"/>
  <c r="C82" i="3"/>
  <c r="D82" i="3"/>
  <c r="B82" i="3"/>
  <c r="A186" i="3"/>
  <c r="A83" i="3"/>
  <c r="B83" i="3"/>
  <c r="C83" i="3"/>
  <c r="D83" i="3"/>
  <c r="C186" i="3"/>
  <c r="B186" i="3"/>
  <c r="A176" i="4"/>
  <c r="B175" i="4"/>
  <c r="C175" i="4"/>
  <c r="A84" i="3"/>
  <c r="A187" i="3"/>
  <c r="C187" i="3"/>
  <c r="B187" i="3"/>
  <c r="A177" i="4"/>
  <c r="B176" i="4"/>
  <c r="C176" i="4"/>
  <c r="C84" i="3"/>
  <c r="D84" i="3"/>
  <c r="B84" i="3"/>
  <c r="A188" i="3"/>
  <c r="A85" i="3"/>
  <c r="A178" i="4"/>
  <c r="B177" i="4"/>
  <c r="C177" i="4"/>
  <c r="C85" i="3"/>
  <c r="B85" i="3"/>
  <c r="D85" i="3"/>
  <c r="B188" i="3"/>
  <c r="C188" i="3"/>
  <c r="A86" i="3"/>
  <c r="A189" i="3"/>
  <c r="B189" i="3"/>
  <c r="C189" i="3"/>
  <c r="D86" i="3"/>
  <c r="B86" i="3"/>
  <c r="C86" i="3"/>
  <c r="A179" i="4"/>
  <c r="B178" i="4"/>
  <c r="C178" i="4"/>
  <c r="A190" i="3"/>
  <c r="A87" i="3"/>
  <c r="C87" i="3"/>
  <c r="D87" i="3"/>
  <c r="B87" i="3"/>
  <c r="A180" i="4"/>
  <c r="B179" i="4"/>
  <c r="C179" i="4"/>
  <c r="C190" i="3"/>
  <c r="B190" i="3"/>
  <c r="A88" i="3"/>
  <c r="A191" i="3"/>
  <c r="C191" i="3"/>
  <c r="B191" i="3"/>
  <c r="A181" i="4"/>
  <c r="B180" i="4"/>
  <c r="C180" i="4"/>
  <c r="D88" i="3"/>
  <c r="C88" i="3"/>
  <c r="B88" i="3"/>
  <c r="A192" i="3"/>
  <c r="A89" i="3"/>
  <c r="A182" i="4"/>
  <c r="B181" i="4"/>
  <c r="C181" i="4"/>
  <c r="C89" i="3"/>
  <c r="B89" i="3"/>
  <c r="D89" i="3"/>
  <c r="B192" i="3"/>
  <c r="C192" i="3"/>
  <c r="A90" i="3"/>
  <c r="A193" i="3"/>
  <c r="B193" i="3"/>
  <c r="C193" i="3"/>
  <c r="D90" i="3"/>
  <c r="B90" i="3"/>
  <c r="C90" i="3"/>
  <c r="A183" i="4"/>
  <c r="B182" i="4"/>
  <c r="C182" i="4"/>
  <c r="A194" i="3"/>
  <c r="A91" i="3"/>
  <c r="C91" i="3"/>
  <c r="D91" i="3"/>
  <c r="B91" i="3"/>
  <c r="B183" i="4"/>
  <c r="C183" i="4"/>
  <c r="C194" i="3"/>
  <c r="B194" i="3"/>
  <c r="A92" i="3"/>
  <c r="A195" i="3"/>
  <c r="C195" i="3"/>
  <c r="B195" i="3"/>
  <c r="D92" i="3"/>
  <c r="C92" i="3"/>
  <c r="B92" i="3"/>
  <c r="A196" i="3"/>
  <c r="A93" i="3"/>
  <c r="C93" i="3"/>
  <c r="B93" i="3"/>
  <c r="D93" i="3"/>
  <c r="B196" i="3"/>
  <c r="C196" i="3"/>
  <c r="A94" i="3"/>
  <c r="A197" i="3"/>
  <c r="D94" i="3"/>
  <c r="B94" i="3"/>
  <c r="C94" i="3"/>
  <c r="B197" i="3"/>
  <c r="C197" i="3"/>
  <c r="A198" i="3"/>
  <c r="A95" i="3"/>
  <c r="C198" i="3"/>
  <c r="B198" i="3"/>
  <c r="C95" i="3"/>
  <c r="D95" i="3"/>
  <c r="B95" i="3"/>
  <c r="A96" i="3"/>
  <c r="A199" i="3"/>
  <c r="B199" i="3"/>
  <c r="C199" i="3"/>
  <c r="D96" i="3"/>
  <c r="C96" i="3"/>
  <c r="B96" i="3"/>
  <c r="A200" i="3"/>
  <c r="A97" i="3"/>
  <c r="C97" i="3"/>
  <c r="B97" i="3"/>
  <c r="D97" i="3"/>
  <c r="B200" i="3"/>
  <c r="C200" i="3"/>
  <c r="A98" i="3"/>
  <c r="A201" i="3"/>
  <c r="B201" i="3"/>
  <c r="C201" i="3"/>
  <c r="D98" i="3"/>
  <c r="B98" i="3"/>
  <c r="C98" i="3"/>
  <c r="A202" i="3"/>
  <c r="A99" i="3"/>
  <c r="D99" i="3"/>
  <c r="B99" i="3"/>
  <c r="C99" i="3"/>
  <c r="C202" i="3"/>
  <c r="B202" i="3"/>
  <c r="A100" i="3"/>
  <c r="A203" i="3"/>
  <c r="C203" i="3"/>
  <c r="B203" i="3"/>
  <c r="D100" i="3"/>
  <c r="C100" i="3"/>
  <c r="B100" i="3"/>
  <c r="A204" i="3"/>
  <c r="A101" i="3"/>
  <c r="C101" i="3"/>
  <c r="B101" i="3"/>
  <c r="D101" i="3"/>
  <c r="B204" i="3"/>
  <c r="C204" i="3"/>
  <c r="A102" i="3"/>
  <c r="A205" i="3"/>
  <c r="D102" i="3"/>
  <c r="B102" i="3"/>
  <c r="C102" i="3"/>
  <c r="B205" i="3"/>
  <c r="C205" i="3"/>
  <c r="A206" i="3"/>
  <c r="C206" i="3"/>
  <c r="B206" i="3"/>
  <c r="A207" i="3"/>
  <c r="C207" i="3"/>
  <c r="B207" i="3"/>
  <c r="A208" i="3"/>
  <c r="B208" i="3"/>
  <c r="C208" i="3"/>
  <c r="A209" i="3"/>
  <c r="B209" i="3"/>
  <c r="C209" i="3"/>
  <c r="A210" i="3"/>
  <c r="C210" i="3"/>
  <c r="B210" i="3"/>
  <c r="B7" i="5"/>
  <c r="I7" i="5" s="1"/>
  <c r="P7" i="5" s="1"/>
  <c r="W7" i="5" s="1"/>
  <c r="AD7" i="5" s="1"/>
  <c r="B27" i="5" s="1"/>
  <c r="E73" i="5" s="1"/>
  <c r="C7" i="5"/>
  <c r="J7" i="5" s="1"/>
  <c r="Q7" i="5" s="1"/>
  <c r="X7" i="5" s="1"/>
  <c r="AE7" i="5" s="1"/>
  <c r="C27" i="5" s="1"/>
  <c r="E74" i="5" s="1"/>
  <c r="F18" i="5"/>
  <c r="M18" i="5" s="1"/>
  <c r="T18" i="5" s="1"/>
  <c r="AA18" i="5" s="1"/>
  <c r="AH18" i="5" s="1"/>
  <c r="E38" i="5" s="1"/>
  <c r="E120" i="5" s="1"/>
  <c r="E18" i="5"/>
  <c r="L18" i="5" s="1"/>
  <c r="S18" i="5" s="1"/>
  <c r="Z18" i="5" s="1"/>
  <c r="AG18" i="5" s="1"/>
  <c r="D38" i="5" s="1"/>
  <c r="E119" i="5" s="1"/>
  <c r="F10" i="5"/>
  <c r="M10" i="5" s="1"/>
  <c r="T10" i="5" s="1"/>
  <c r="AA10" i="5" s="1"/>
  <c r="AH10" i="5" s="1"/>
  <c r="E30" i="5" s="1"/>
  <c r="E88" i="5" s="1"/>
  <c r="E10" i="5"/>
  <c r="L10" i="5" s="1"/>
  <c r="S10" i="5" s="1"/>
  <c r="Z10" i="5" s="1"/>
  <c r="AG10" i="5" s="1"/>
  <c r="D30" i="5" s="1"/>
  <c r="E87" i="5" s="1"/>
  <c r="F12" i="5"/>
  <c r="M12" i="5" s="1"/>
  <c r="T12" i="5" s="1"/>
  <c r="AA12" i="5" s="1"/>
  <c r="AH12" i="5" s="1"/>
  <c r="E32" i="5" s="1"/>
  <c r="E96" i="5" s="1"/>
  <c r="E12" i="5"/>
  <c r="L12" i="5" s="1"/>
  <c r="S12" i="5" s="1"/>
  <c r="Z12" i="5" s="1"/>
  <c r="AG12" i="5" s="1"/>
  <c r="D32" i="5" s="1"/>
  <c r="E95" i="5" s="1"/>
  <c r="F7" i="5"/>
  <c r="M7" i="5" s="1"/>
  <c r="T7" i="5" s="1"/>
  <c r="AA7" i="5" s="1"/>
  <c r="AH7" i="5" s="1"/>
  <c r="E27" i="5" s="1"/>
  <c r="E76" i="5" s="1"/>
  <c r="E7" i="5"/>
  <c r="L7" i="5" s="1"/>
  <c r="S7" i="5" s="1"/>
  <c r="Z7" i="5" s="1"/>
  <c r="AG7" i="5" s="1"/>
  <c r="D27" i="5" s="1"/>
  <c r="E75" i="5" s="1"/>
  <c r="E9" i="5"/>
  <c r="L9" i="5" s="1"/>
  <c r="S9" i="5" s="1"/>
  <c r="Z9" i="5" s="1"/>
  <c r="AG9" i="5" s="1"/>
  <c r="D29" i="5" s="1"/>
  <c r="E83" i="5" s="1"/>
  <c r="F9" i="5"/>
  <c r="M9" i="5" s="1"/>
  <c r="T9" i="5" s="1"/>
  <c r="AA9" i="5" s="1"/>
  <c r="AH9" i="5" s="1"/>
  <c r="E29" i="5" s="1"/>
  <c r="E84" i="5" s="1"/>
  <c r="C11" i="5"/>
  <c r="J11" i="5" s="1"/>
  <c r="Q11" i="5" s="1"/>
  <c r="X11" i="5" s="1"/>
  <c r="AE11" i="5" s="1"/>
  <c r="C31" i="5" s="1"/>
  <c r="E90" i="5" s="1"/>
  <c r="B11" i="5"/>
  <c r="I11" i="5" s="1"/>
  <c r="P11" i="5" s="1"/>
  <c r="W11" i="5" s="1"/>
  <c r="AD11" i="5" s="1"/>
  <c r="B31" i="5" s="1"/>
  <c r="E89" i="5" s="1"/>
  <c r="F8" i="5"/>
  <c r="M8" i="5" s="1"/>
  <c r="T8" i="5" s="1"/>
  <c r="AA8" i="5" s="1"/>
  <c r="AH8" i="5" s="1"/>
  <c r="E28" i="5" s="1"/>
  <c r="E80" i="5" s="1"/>
  <c r="E8" i="5"/>
  <c r="L8" i="5" s="1"/>
  <c r="S8" i="5" s="1"/>
  <c r="Z8" i="5" s="1"/>
  <c r="AG8" i="5" s="1"/>
  <c r="D28" i="5" s="1"/>
  <c r="E79" i="5" s="1"/>
  <c r="C16" i="5"/>
  <c r="J16" i="5" s="1"/>
  <c r="Q16" i="5" s="1"/>
  <c r="X16" i="5" s="1"/>
  <c r="AE16" i="5" s="1"/>
  <c r="C36" i="5" s="1"/>
  <c r="E110" i="5" s="1"/>
  <c r="B16" i="5"/>
  <c r="I16" i="5" s="1"/>
  <c r="P16" i="5" s="1"/>
  <c r="W16" i="5" s="1"/>
  <c r="AD16" i="5" s="1"/>
  <c r="B36" i="5" s="1"/>
  <c r="E109" i="5" s="1"/>
  <c r="C17" i="5"/>
  <c r="J17" i="5" s="1"/>
  <c r="Q17" i="5" s="1"/>
  <c r="X17" i="5" s="1"/>
  <c r="AE17" i="5" s="1"/>
  <c r="C37" i="5" s="1"/>
  <c r="E114" i="5" s="1"/>
  <c r="B17" i="5"/>
  <c r="I17" i="5" s="1"/>
  <c r="P17" i="5" s="1"/>
  <c r="W17" i="5" s="1"/>
  <c r="AD17" i="5" s="1"/>
  <c r="B37" i="5" s="1"/>
  <c r="E113" i="5" s="1"/>
  <c r="F13" i="5"/>
  <c r="M13" i="5" s="1"/>
  <c r="T13" i="5" s="1"/>
  <c r="AA13" i="5" s="1"/>
  <c r="AH13" i="5" s="1"/>
  <c r="E33" i="5" s="1"/>
  <c r="E100" i="5" s="1"/>
  <c r="E13" i="5"/>
  <c r="L13" i="5" s="1"/>
  <c r="S13" i="5" s="1"/>
  <c r="Z13" i="5" s="1"/>
  <c r="AG13" i="5" s="1"/>
  <c r="D33" i="5" s="1"/>
  <c r="E99" i="5" s="1"/>
  <c r="C13" i="5"/>
  <c r="J13" i="5" s="1"/>
  <c r="Q13" i="5" s="1"/>
  <c r="X13" i="5" s="1"/>
  <c r="AE13" i="5" s="1"/>
  <c r="C33" i="5" s="1"/>
  <c r="E98" i="5" s="1"/>
  <c r="B13" i="5"/>
  <c r="I13" i="5" s="1"/>
  <c r="P13" i="5" s="1"/>
  <c r="W13" i="5" s="1"/>
  <c r="AD13" i="5" s="1"/>
  <c r="B33" i="5" s="1"/>
  <c r="E97" i="5" s="1"/>
  <c r="F16" i="5"/>
  <c r="M16" i="5" s="1"/>
  <c r="T16" i="5" s="1"/>
  <c r="AA16" i="5" s="1"/>
  <c r="AH16" i="5" s="1"/>
  <c r="E36" i="5" s="1"/>
  <c r="E112" i="5" s="1"/>
  <c r="E16" i="5"/>
  <c r="L16" i="5" s="1"/>
  <c r="S16" i="5" s="1"/>
  <c r="Z16" i="5" s="1"/>
  <c r="AG16" i="5" s="1"/>
  <c r="D36" i="5" s="1"/>
  <c r="E111" i="5" s="1"/>
  <c r="E11" i="5"/>
  <c r="L11" i="5" s="1"/>
  <c r="S11" i="5" s="1"/>
  <c r="Z11" i="5" s="1"/>
  <c r="AG11" i="5" s="1"/>
  <c r="D31" i="5" s="1"/>
  <c r="E91" i="5" s="1"/>
  <c r="F11" i="5"/>
  <c r="M11" i="5" s="1"/>
  <c r="T11" i="5" s="1"/>
  <c r="AA11" i="5" s="1"/>
  <c r="AH11" i="5" s="1"/>
  <c r="E31" i="5" s="1"/>
  <c r="E92" i="5" s="1"/>
  <c r="E15" i="5"/>
  <c r="L15" i="5" s="1"/>
  <c r="S15" i="5" s="1"/>
  <c r="Z15" i="5" s="1"/>
  <c r="AG15" i="5" s="1"/>
  <c r="D35" i="5" s="1"/>
  <c r="E107" i="5" s="1"/>
  <c r="F15" i="5"/>
  <c r="M15" i="5" s="1"/>
  <c r="T15" i="5" s="1"/>
  <c r="AA15" i="5" s="1"/>
  <c r="AH15" i="5" s="1"/>
  <c r="E35" i="5" s="1"/>
  <c r="E108" i="5" s="1"/>
  <c r="B8" i="5"/>
  <c r="I8" i="5" s="1"/>
  <c r="P8" i="5" s="1"/>
  <c r="W8" i="5" s="1"/>
  <c r="AD8" i="5" s="1"/>
  <c r="B28" i="5" s="1"/>
  <c r="E77" i="5" s="1"/>
  <c r="C8" i="5"/>
  <c r="J8" i="5" s="1"/>
  <c r="Q8" i="5" s="1"/>
  <c r="X8" i="5" s="1"/>
  <c r="AE8" i="5" s="1"/>
  <c r="C28" i="5" s="1"/>
  <c r="E78" i="5" s="1"/>
  <c r="E5" i="5"/>
  <c r="L5" i="5" s="1"/>
  <c r="S5" i="5" s="1"/>
  <c r="Z5" i="5" s="1"/>
  <c r="AG5" i="5" s="1"/>
  <c r="D25" i="5" s="1"/>
  <c r="E67" i="5" s="1"/>
  <c r="F5" i="5"/>
  <c r="M5" i="5" s="1"/>
  <c r="T5" i="5" s="1"/>
  <c r="AA5" i="5" s="1"/>
  <c r="AH5" i="5" s="1"/>
  <c r="E25" i="5" s="1"/>
  <c r="E68" i="5" s="1"/>
  <c r="B10" i="5"/>
  <c r="I10" i="5" s="1"/>
  <c r="P10" i="5" s="1"/>
  <c r="W10" i="5" s="1"/>
  <c r="AD10" i="5" s="1"/>
  <c r="B30" i="5" s="1"/>
  <c r="E85" i="5" s="1"/>
  <c r="C10" i="5"/>
  <c r="J10" i="5" s="1"/>
  <c r="Q10" i="5" s="1"/>
  <c r="X10" i="5" s="1"/>
  <c r="AE10" i="5" s="1"/>
  <c r="C30" i="5" s="1"/>
  <c r="E86" i="5" s="1"/>
  <c r="B12" i="5"/>
  <c r="I12" i="5" s="1"/>
  <c r="P12" i="5" s="1"/>
  <c r="W12" i="5" s="1"/>
  <c r="AD12" i="5" s="1"/>
  <c r="B32" i="5" s="1"/>
  <c r="E93" i="5" s="1"/>
  <c r="C12" i="5"/>
  <c r="J12" i="5" s="1"/>
  <c r="Q12" i="5" s="1"/>
  <c r="X12" i="5" s="1"/>
  <c r="AE12" i="5" s="1"/>
  <c r="C32" i="5" s="1"/>
  <c r="E94" i="5" s="1"/>
  <c r="B5" i="5"/>
  <c r="I5" i="5" s="1"/>
  <c r="P5" i="5" s="1"/>
  <c r="W5" i="5" s="1"/>
  <c r="AD5" i="5" s="1"/>
  <c r="B25" i="5" s="1"/>
  <c r="E65" i="5" s="1"/>
  <c r="C5" i="5"/>
  <c r="J5" i="5" s="1"/>
  <c r="Q5" i="5" s="1"/>
  <c r="X5" i="5" s="1"/>
  <c r="AE5" i="5" s="1"/>
  <c r="C25" i="5" s="1"/>
  <c r="E66" i="5" s="1"/>
  <c r="E17" i="5"/>
  <c r="L17" i="5" s="1"/>
  <c r="S17" i="5" s="1"/>
  <c r="Z17" i="5" s="1"/>
  <c r="AG17" i="5" s="1"/>
  <c r="D37" i="5" s="1"/>
  <c r="E115" i="5" s="1"/>
  <c r="F17" i="5"/>
  <c r="M17" i="5" s="1"/>
  <c r="T17" i="5" s="1"/>
  <c r="AA17" i="5" s="1"/>
  <c r="AH17" i="5" s="1"/>
  <c r="E37" i="5" s="1"/>
  <c r="E116" i="5" s="1"/>
  <c r="C9" i="5"/>
  <c r="J9" i="5" s="1"/>
  <c r="Q9" i="5" s="1"/>
  <c r="X9" i="5" s="1"/>
  <c r="AE9" i="5" s="1"/>
  <c r="C29" i="5" s="1"/>
  <c r="E82" i="5" s="1"/>
  <c r="B9" i="5"/>
  <c r="I9" i="5" s="1"/>
  <c r="P9" i="5" s="1"/>
  <c r="W9" i="5" s="1"/>
  <c r="AD9" i="5" s="1"/>
  <c r="B29" i="5" s="1"/>
  <c r="E81" i="5" s="1"/>
  <c r="F19" i="5"/>
  <c r="M19" i="5" s="1"/>
  <c r="T19" i="5" s="1"/>
  <c r="AA19" i="5" s="1"/>
  <c r="AH19" i="5" s="1"/>
  <c r="E39" i="5" s="1"/>
  <c r="E124" i="5" s="1"/>
  <c r="E19" i="5"/>
  <c r="L19" i="5" s="1"/>
  <c r="S19" i="5" s="1"/>
  <c r="Z19" i="5" s="1"/>
  <c r="AG19" i="5" s="1"/>
  <c r="D39" i="5" s="1"/>
  <c r="E123" i="5" s="1"/>
  <c r="C18" i="5"/>
  <c r="J18" i="5" s="1"/>
  <c r="Q18" i="5" s="1"/>
  <c r="X18" i="5" s="1"/>
  <c r="AE18" i="5" s="1"/>
  <c r="C38" i="5" s="1"/>
  <c r="E118" i="5" s="1"/>
  <c r="B18" i="5"/>
  <c r="I18" i="5" s="1"/>
  <c r="P18" i="5" s="1"/>
  <c r="W18" i="5" s="1"/>
  <c r="AD18" i="5" s="1"/>
  <c r="B38" i="5" s="1"/>
  <c r="E117" i="5" s="1"/>
  <c r="C6" i="5"/>
  <c r="J6" i="5" s="1"/>
  <c r="Q6" i="5" s="1"/>
  <c r="X6" i="5" s="1"/>
  <c r="AE6" i="5" s="1"/>
  <c r="C26" i="5" s="1"/>
  <c r="E70" i="5" s="1"/>
  <c r="B6" i="5"/>
  <c r="I6" i="5" s="1"/>
  <c r="P6" i="5" s="1"/>
  <c r="W6" i="5" s="1"/>
  <c r="AD6" i="5" s="1"/>
  <c r="B26" i="5" s="1"/>
  <c r="E69" i="5" s="1"/>
  <c r="E6" i="5"/>
  <c r="L6" i="5" s="1"/>
  <c r="S6" i="5" s="1"/>
  <c r="Z6" i="5" s="1"/>
  <c r="AG6" i="5" s="1"/>
  <c r="D26" i="5" s="1"/>
  <c r="E71" i="5" s="1"/>
  <c r="F6" i="5"/>
  <c r="M6" i="5" s="1"/>
  <c r="T6" i="5" s="1"/>
  <c r="AA6" i="5" s="1"/>
  <c r="AH6" i="5" s="1"/>
  <c r="E26" i="5" s="1"/>
  <c r="E72" i="5" s="1"/>
  <c r="B15" i="5"/>
  <c r="I15" i="5" s="1"/>
  <c r="P15" i="5" s="1"/>
  <c r="W15" i="5" s="1"/>
  <c r="AD15" i="5" s="1"/>
  <c r="B35" i="5" s="1"/>
  <c r="E105" i="5" s="1"/>
  <c r="C15" i="5"/>
  <c r="J15" i="5" s="1"/>
  <c r="Q15" i="5" s="1"/>
  <c r="X15" i="5" s="1"/>
  <c r="AE15" i="5" s="1"/>
  <c r="C35" i="5" s="1"/>
  <c r="E106" i="5" s="1"/>
  <c r="F20" i="5"/>
  <c r="M20" i="5" s="1"/>
  <c r="T20" i="5" s="1"/>
  <c r="AA20" i="5" s="1"/>
  <c r="AH20" i="5" s="1"/>
  <c r="E40" i="5" s="1"/>
  <c r="E128" i="5" s="1"/>
  <c r="E20" i="5"/>
  <c r="L20" i="5" s="1"/>
  <c r="S20" i="5" s="1"/>
  <c r="Z20" i="5" s="1"/>
  <c r="AG20" i="5" s="1"/>
  <c r="D40" i="5" s="1"/>
  <c r="E127" i="5" s="1"/>
  <c r="C14" i="5"/>
  <c r="J14" i="5" s="1"/>
  <c r="Q14" i="5" s="1"/>
  <c r="X14" i="5" s="1"/>
  <c r="AE14" i="5" s="1"/>
  <c r="C34" i="5" s="1"/>
  <c r="E102" i="5" s="1"/>
  <c r="B14" i="5"/>
  <c r="I14" i="5" s="1"/>
  <c r="P14" i="5" s="1"/>
  <c r="W14" i="5" s="1"/>
  <c r="AD14" i="5" s="1"/>
  <c r="B34" i="5" s="1"/>
  <c r="E101" i="5" s="1"/>
  <c r="O21" i="1"/>
  <c r="C19" i="5"/>
  <c r="J19" i="5" s="1"/>
  <c r="Q19" i="5" s="1"/>
  <c r="X19" i="5" s="1"/>
  <c r="AE19" i="5" s="1"/>
  <c r="C39" i="5" s="1"/>
  <c r="E122" i="5" s="1"/>
  <c r="B19" i="5"/>
  <c r="I19" i="5" s="1"/>
  <c r="P19" i="5" s="1"/>
  <c r="W19" i="5" s="1"/>
  <c r="AD19" i="5" s="1"/>
  <c r="B39" i="5" s="1"/>
  <c r="E121" i="5" s="1"/>
  <c r="E14" i="5"/>
  <c r="L14" i="5" s="1"/>
  <c r="S14" i="5" s="1"/>
  <c r="Z14" i="5" s="1"/>
  <c r="AG14" i="5" s="1"/>
  <c r="D34" i="5" s="1"/>
  <c r="E103" i="5" s="1"/>
  <c r="F14" i="5"/>
  <c r="M14" i="5" s="1"/>
  <c r="T14" i="5" s="1"/>
  <c r="AA14" i="5" s="1"/>
  <c r="AH14" i="5" s="1"/>
  <c r="E34" i="5" s="1"/>
  <c r="E104" i="5" s="1"/>
  <c r="O22" i="1"/>
  <c r="B20" i="5"/>
  <c r="I20" i="5" s="1"/>
  <c r="P20" i="5" s="1"/>
  <c r="W20" i="5" s="1"/>
  <c r="AD20" i="5" s="1"/>
  <c r="B40" i="5" s="1"/>
  <c r="E125" i="5" s="1"/>
  <c r="C20" i="5"/>
  <c r="J20" i="5" s="1"/>
  <c r="Q20" i="5" s="1"/>
  <c r="X20" i="5" s="1"/>
  <c r="AE20" i="5" s="1"/>
  <c r="C40" i="5" s="1"/>
  <c r="E126" i="5" s="1"/>
  <c r="D143" i="4"/>
  <c r="D176" i="3"/>
  <c r="D193" i="3"/>
  <c r="D129" i="3"/>
  <c r="D167" i="3"/>
  <c r="D135" i="3"/>
  <c r="D110" i="4"/>
  <c r="D191" i="3"/>
  <c r="D116" i="3"/>
  <c r="D167" i="4"/>
  <c r="D127" i="4"/>
  <c r="D200" i="3"/>
  <c r="K2" i="1"/>
  <c r="D166" i="3" l="1"/>
  <c r="D133" i="3"/>
  <c r="D162" i="4"/>
  <c r="D133" i="4"/>
  <c r="D129" i="4"/>
  <c r="D144" i="4"/>
  <c r="D202" i="3"/>
  <c r="D165" i="3"/>
  <c r="D183" i="4"/>
  <c r="D153" i="4"/>
  <c r="D166" i="4"/>
  <c r="D149" i="4"/>
  <c r="D187" i="3"/>
  <c r="D109" i="4"/>
  <c r="D158" i="4"/>
  <c r="D135" i="4"/>
  <c r="D105" i="4"/>
  <c r="D137" i="3"/>
  <c r="D119" i="4"/>
  <c r="D138" i="4"/>
  <c r="D137" i="4"/>
  <c r="D102" i="4"/>
  <c r="D169" i="3"/>
  <c r="D113" i="3"/>
  <c r="D169" i="4"/>
  <c r="D181" i="4"/>
  <c r="D107" i="3"/>
  <c r="D158" i="3"/>
  <c r="D195" i="3"/>
  <c r="D189" i="3"/>
  <c r="D139" i="3"/>
  <c r="D134" i="3"/>
  <c r="D179" i="4"/>
  <c r="D118" i="4"/>
  <c r="D108" i="4"/>
  <c r="D153" i="3"/>
  <c r="D161" i="4"/>
  <c r="D142" i="3"/>
  <c r="D147" i="4"/>
  <c r="D180" i="4"/>
  <c r="D206" i="3"/>
  <c r="D152" i="4"/>
  <c r="D171" i="3"/>
  <c r="D117" i="3"/>
  <c r="D115" i="3"/>
  <c r="D131" i="4"/>
  <c r="G16" i="5" s="1"/>
  <c r="N16" i="5" s="1"/>
  <c r="U16" i="5" s="1"/>
  <c r="AB16" i="5" s="1"/>
  <c r="AI16" i="5" s="1"/>
  <c r="I36" i="5" s="1"/>
  <c r="F111" i="5" s="1"/>
  <c r="D197" i="3"/>
  <c r="D162" i="3"/>
  <c r="D13" i="5" s="1"/>
  <c r="K13" i="5" s="1"/>
  <c r="R13" i="5" s="1"/>
  <c r="Y13" i="5" s="1"/>
  <c r="AF13" i="5" s="1"/>
  <c r="G33" i="5" s="1"/>
  <c r="F97" i="5" s="1"/>
  <c r="D201" i="3"/>
  <c r="D182" i="3"/>
  <c r="D199" i="3"/>
  <c r="D112" i="4"/>
  <c r="D203" i="3"/>
  <c r="D174" i="4"/>
  <c r="D147" i="3"/>
  <c r="D20" i="5" s="1"/>
  <c r="K20" i="5" s="1"/>
  <c r="R20" i="5" s="1"/>
  <c r="Y20" i="5" s="1"/>
  <c r="AF20" i="5" s="1"/>
  <c r="H40" i="5" s="1"/>
  <c r="F126" i="5" s="1"/>
  <c r="D178" i="3"/>
  <c r="D122" i="4"/>
  <c r="D124" i="3"/>
  <c r="D128" i="3"/>
  <c r="D134" i="4"/>
  <c r="D164" i="4"/>
  <c r="D97" i="4"/>
  <c r="D152" i="3"/>
  <c r="D122" i="3"/>
  <c r="D156" i="3"/>
  <c r="D138" i="3"/>
  <c r="D159" i="4"/>
  <c r="D186" i="3"/>
  <c r="D154" i="4"/>
  <c r="D141" i="4"/>
  <c r="D110" i="3"/>
  <c r="D104" i="3"/>
  <c r="D96" i="4"/>
  <c r="D94" i="4"/>
  <c r="D151" i="3"/>
  <c r="D184" i="3"/>
  <c r="D148" i="4"/>
  <c r="D115" i="4"/>
  <c r="D188" i="3"/>
  <c r="D123" i="4"/>
  <c r="G8" i="5" s="1"/>
  <c r="N8" i="5" s="1"/>
  <c r="U8" i="5" s="1"/>
  <c r="AB8" i="5" s="1"/>
  <c r="AI8" i="5" s="1"/>
  <c r="I28" i="5" s="1"/>
  <c r="F79" i="5" s="1"/>
  <c r="D106" i="3"/>
  <c r="D132" i="3"/>
  <c r="D146" i="4"/>
  <c r="D144" i="3"/>
  <c r="D111" i="3"/>
  <c r="D176" i="4"/>
  <c r="D141" i="3"/>
  <c r="D156" i="4"/>
  <c r="D178" i="4"/>
  <c r="D145" i="4"/>
  <c r="D151" i="4"/>
  <c r="D185" i="3"/>
  <c r="D126" i="3"/>
  <c r="D136" i="3"/>
  <c r="D157" i="4"/>
  <c r="D114" i="3"/>
  <c r="D150" i="4"/>
  <c r="D183" i="3"/>
  <c r="D123" i="3"/>
  <c r="D99" i="4"/>
  <c r="D121" i="4"/>
  <c r="D127" i="3"/>
  <c r="D103" i="4"/>
  <c r="D125" i="4"/>
  <c r="G12" i="5" s="1"/>
  <c r="N12" i="5" s="1"/>
  <c r="U12" i="5" s="1"/>
  <c r="AB12" i="5" s="1"/>
  <c r="AI12" i="5" s="1"/>
  <c r="I32" i="5" s="1"/>
  <c r="F95" i="5" s="1"/>
  <c r="D131" i="3"/>
  <c r="D154" i="3"/>
  <c r="D164" i="3"/>
  <c r="D128" i="4"/>
  <c r="D208" i="3"/>
  <c r="D148" i="3"/>
  <c r="D6" i="5" s="1"/>
  <c r="K6" i="5" s="1"/>
  <c r="R6" i="5" s="1"/>
  <c r="Y6" i="5" s="1"/>
  <c r="AF6" i="5" s="1"/>
  <c r="H26" i="5" s="1"/>
  <c r="F70" i="5" s="1"/>
  <c r="D146" i="3"/>
  <c r="D205" i="3"/>
  <c r="D175" i="3"/>
  <c r="D108" i="3"/>
  <c r="D182" i="4"/>
  <c r="D161" i="3"/>
  <c r="D190" i="3"/>
  <c r="D139" i="4"/>
  <c r="D145" i="3"/>
  <c r="D170" i="4"/>
  <c r="D113" i="4"/>
  <c r="D143" i="3"/>
  <c r="D109" i="3"/>
  <c r="D100" i="4"/>
  <c r="D157" i="3"/>
  <c r="D174" i="3"/>
  <c r="D175" i="4"/>
  <c r="D149" i="3"/>
  <c r="D7" i="5" s="1"/>
  <c r="K7" i="5" s="1"/>
  <c r="R7" i="5" s="1"/>
  <c r="Y7" i="5" s="1"/>
  <c r="AF7" i="5" s="1"/>
  <c r="G27" i="5" s="1"/>
  <c r="F73" i="5" s="1"/>
  <c r="D107" i="4"/>
  <c r="D120" i="3"/>
  <c r="D198" i="3"/>
  <c r="D130" i="4"/>
  <c r="D118" i="3"/>
  <c r="D126" i="4"/>
  <c r="G20" i="5" s="1"/>
  <c r="N20" i="5" s="1"/>
  <c r="U20" i="5" s="1"/>
  <c r="AB20" i="5" s="1"/>
  <c r="AI20" i="5" s="1"/>
  <c r="J40" i="5" s="1"/>
  <c r="F128" i="5" s="1"/>
  <c r="D177" i="3"/>
  <c r="D160" i="4"/>
  <c r="D171" i="4"/>
  <c r="D117" i="4"/>
  <c r="D160" i="3"/>
  <c r="D173" i="3"/>
  <c r="D136" i="4"/>
  <c r="D106" i="4"/>
  <c r="D142" i="4"/>
  <c r="D192" i="3"/>
  <c r="D181" i="3"/>
  <c r="D179" i="3"/>
  <c r="D119" i="3"/>
  <c r="D116" i="4"/>
  <c r="D120" i="4"/>
  <c r="D210" i="3"/>
  <c r="D209" i="3"/>
  <c r="D172" i="4"/>
  <c r="D111" i="4"/>
  <c r="D163" i="4"/>
  <c r="D140" i="4"/>
  <c r="D180" i="3"/>
  <c r="D204" i="3"/>
  <c r="D170" i="3"/>
  <c r="D168" i="3"/>
  <c r="D132" i="4"/>
  <c r="G11" i="5" s="1"/>
  <c r="N11" i="5" s="1"/>
  <c r="U11" i="5" s="1"/>
  <c r="AB11" i="5" s="1"/>
  <c r="AI11" i="5" s="1"/>
  <c r="I31" i="5" s="1"/>
  <c r="F91" i="5" s="1"/>
  <c r="D194" i="3"/>
  <c r="D112" i="3"/>
  <c r="D98" i="4"/>
  <c r="D155" i="3"/>
  <c r="D173" i="4"/>
  <c r="D155" i="4"/>
  <c r="D159" i="3"/>
  <c r="D105" i="3"/>
  <c r="D165" i="4"/>
  <c r="D163" i="3"/>
  <c r="D101" i="4"/>
  <c r="D196" i="3"/>
  <c r="D177" i="4"/>
  <c r="D125" i="3"/>
  <c r="D95" i="4"/>
  <c r="D104" i="4"/>
  <c r="D124" i="4"/>
  <c r="D172" i="3"/>
  <c r="D207" i="3"/>
  <c r="D150" i="3"/>
  <c r="D114" i="4"/>
  <c r="D17" i="5"/>
  <c r="K17" i="5" s="1"/>
  <c r="R17" i="5" s="1"/>
  <c r="Y17" i="5" s="1"/>
  <c r="AF17" i="5" s="1"/>
  <c r="H37" i="5" s="1"/>
  <c r="F114" i="5" s="1"/>
  <c r="D8" i="5"/>
  <c r="K8" i="5" s="1"/>
  <c r="R8" i="5" s="1"/>
  <c r="Y8" i="5" s="1"/>
  <c r="AF8" i="5" s="1"/>
  <c r="H28" i="5" s="1"/>
  <c r="F78" i="5" s="1"/>
  <c r="G45" i="5"/>
  <c r="D65" i="5" s="1"/>
  <c r="G65" i="5" s="1"/>
  <c r="D121" i="3"/>
  <c r="D16" i="5"/>
  <c r="K16" i="5" s="1"/>
  <c r="R16" i="5" s="1"/>
  <c r="Y16" i="5" s="1"/>
  <c r="AF16" i="5" s="1"/>
  <c r="G36" i="5" s="1"/>
  <c r="F109" i="5" s="1"/>
  <c r="G14" i="5"/>
  <c r="N14" i="5" s="1"/>
  <c r="U14" i="5" s="1"/>
  <c r="AB14" i="5" s="1"/>
  <c r="AI14" i="5" s="1"/>
  <c r="I34" i="5" s="1"/>
  <c r="F103" i="5" s="1"/>
  <c r="H45" i="5"/>
  <c r="D66" i="5" s="1"/>
  <c r="G66" i="5" s="1"/>
  <c r="I45" i="5"/>
  <c r="D67" i="5" s="1"/>
  <c r="G67" i="5" s="1"/>
  <c r="E45" i="5"/>
  <c r="D168" i="4"/>
  <c r="D130" i="3"/>
  <c r="G19" i="5" l="1"/>
  <c r="N19" i="5" s="1"/>
  <c r="U19" i="5" s="1"/>
  <c r="AB19" i="5" s="1"/>
  <c r="AI19" i="5" s="1"/>
  <c r="J39" i="5" s="1"/>
  <c r="F124" i="5" s="1"/>
  <c r="G18" i="5"/>
  <c r="N18" i="5" s="1"/>
  <c r="U18" i="5" s="1"/>
  <c r="AB18" i="5" s="1"/>
  <c r="AI18" i="5" s="1"/>
  <c r="J38" i="5" s="1"/>
  <c r="F120" i="5" s="1"/>
  <c r="G5" i="5"/>
  <c r="N5" i="5" s="1"/>
  <c r="U5" i="5" s="1"/>
  <c r="AB5" i="5" s="1"/>
  <c r="AI5" i="5" s="1"/>
  <c r="I25" i="5" s="1"/>
  <c r="F67" i="5" s="1"/>
  <c r="D9" i="5"/>
  <c r="K9" i="5" s="1"/>
  <c r="R9" i="5" s="1"/>
  <c r="Y9" i="5" s="1"/>
  <c r="AF9" i="5" s="1"/>
  <c r="G29" i="5" s="1"/>
  <c r="F81" i="5" s="1"/>
  <c r="G17" i="5"/>
  <c r="N17" i="5" s="1"/>
  <c r="U17" i="5" s="1"/>
  <c r="AB17" i="5" s="1"/>
  <c r="AI17" i="5" s="1"/>
  <c r="I37" i="5" s="1"/>
  <c r="F115" i="5" s="1"/>
  <c r="G6" i="5"/>
  <c r="N6" i="5" s="1"/>
  <c r="U6" i="5" s="1"/>
  <c r="AB6" i="5" s="1"/>
  <c r="AI6" i="5" s="1"/>
  <c r="I26" i="5" s="1"/>
  <c r="F71" i="5" s="1"/>
  <c r="D12" i="5"/>
  <c r="K12" i="5" s="1"/>
  <c r="R12" i="5" s="1"/>
  <c r="Y12" i="5" s="1"/>
  <c r="AF12" i="5" s="1"/>
  <c r="G32" i="5" s="1"/>
  <c r="F93" i="5" s="1"/>
  <c r="G9" i="5"/>
  <c r="N9" i="5" s="1"/>
  <c r="U9" i="5" s="1"/>
  <c r="AB9" i="5" s="1"/>
  <c r="AI9" i="5" s="1"/>
  <c r="J29" i="5" s="1"/>
  <c r="F84" i="5" s="1"/>
  <c r="D10" i="5"/>
  <c r="K10" i="5" s="1"/>
  <c r="R10" i="5" s="1"/>
  <c r="Y10" i="5" s="1"/>
  <c r="AF10" i="5" s="1"/>
  <c r="H30" i="5" s="1"/>
  <c r="F86" i="5" s="1"/>
  <c r="G7" i="5"/>
  <c r="N7" i="5" s="1"/>
  <c r="U7" i="5" s="1"/>
  <c r="AB7" i="5" s="1"/>
  <c r="AI7" i="5" s="1"/>
  <c r="I27" i="5" s="1"/>
  <c r="F75" i="5" s="1"/>
  <c r="G10" i="5"/>
  <c r="N10" i="5" s="1"/>
  <c r="U10" i="5" s="1"/>
  <c r="AB10" i="5" s="1"/>
  <c r="AI10" i="5" s="1"/>
  <c r="J30" i="5" s="1"/>
  <c r="F88" i="5" s="1"/>
  <c r="D11" i="5"/>
  <c r="K11" i="5" s="1"/>
  <c r="R11" i="5" s="1"/>
  <c r="Y11" i="5" s="1"/>
  <c r="AF11" i="5" s="1"/>
  <c r="H31" i="5" s="1"/>
  <c r="F90" i="5" s="1"/>
  <c r="D18" i="5"/>
  <c r="K18" i="5" s="1"/>
  <c r="R18" i="5" s="1"/>
  <c r="Y18" i="5" s="1"/>
  <c r="AF18" i="5" s="1"/>
  <c r="H38" i="5" s="1"/>
  <c r="F118" i="5" s="1"/>
  <c r="D15" i="5"/>
  <c r="K15" i="5" s="1"/>
  <c r="R15" i="5" s="1"/>
  <c r="Y15" i="5" s="1"/>
  <c r="AF15" i="5" s="1"/>
  <c r="G35" i="5" s="1"/>
  <c r="F105" i="5" s="1"/>
  <c r="D19" i="5"/>
  <c r="K19" i="5" s="1"/>
  <c r="R19" i="5" s="1"/>
  <c r="Y19" i="5" s="1"/>
  <c r="AF19" i="5" s="1"/>
  <c r="H39" i="5" s="1"/>
  <c r="F122" i="5" s="1"/>
  <c r="G13" i="5"/>
  <c r="N13" i="5" s="1"/>
  <c r="U13" i="5" s="1"/>
  <c r="AB13" i="5" s="1"/>
  <c r="AI13" i="5" s="1"/>
  <c r="J33" i="5" s="1"/>
  <c r="F100" i="5" s="1"/>
  <c r="G15" i="5"/>
  <c r="N15" i="5" s="1"/>
  <c r="U15" i="5" s="1"/>
  <c r="AB15" i="5" s="1"/>
  <c r="AI15" i="5" s="1"/>
  <c r="I35" i="5" s="1"/>
  <c r="F107" i="5" s="1"/>
  <c r="D5" i="5"/>
  <c r="K5" i="5" s="1"/>
  <c r="R5" i="5" s="1"/>
  <c r="Y5" i="5" s="1"/>
  <c r="AF5" i="5" s="1"/>
  <c r="G25" i="5" s="1"/>
  <c r="F65" i="5" s="1"/>
  <c r="D14" i="5"/>
  <c r="K14" i="5" s="1"/>
  <c r="R14" i="5" s="1"/>
  <c r="Y14" i="5" s="1"/>
  <c r="AF14" i="5" s="1"/>
  <c r="G34" i="5" s="1"/>
  <c r="F101" i="5" s="1"/>
  <c r="I40" i="5"/>
  <c r="F127" i="5" s="1"/>
  <c r="G37" i="5"/>
  <c r="F113" i="5" s="1"/>
  <c r="G28" i="5"/>
  <c r="F77" i="5" s="1"/>
  <c r="J28" i="5"/>
  <c r="F80" i="5" s="1"/>
  <c r="G40" i="5"/>
  <c r="F125" i="5" s="1"/>
  <c r="H27" i="5"/>
  <c r="F74" i="5" s="1"/>
  <c r="I39" i="5"/>
  <c r="F123" i="5" s="1"/>
  <c r="H33" i="5"/>
  <c r="F98" i="5" s="1"/>
  <c r="J36" i="5"/>
  <c r="F112" i="5" s="1"/>
  <c r="J31" i="5"/>
  <c r="F92" i="5" s="1"/>
  <c r="H36" i="5"/>
  <c r="F110" i="5" s="1"/>
  <c r="J34" i="5"/>
  <c r="F104" i="5" s="1"/>
  <c r="J32" i="5"/>
  <c r="F96" i="5" s="1"/>
  <c r="G26" i="5"/>
  <c r="F69" i="5" s="1"/>
  <c r="B46" i="5"/>
  <c r="J45" i="5"/>
  <c r="D68" i="5" s="1"/>
  <c r="I38" i="5" l="1"/>
  <c r="F119" i="5" s="1"/>
  <c r="H29" i="5"/>
  <c r="F82" i="5" s="1"/>
  <c r="J37" i="5"/>
  <c r="F116" i="5" s="1"/>
  <c r="J25" i="5"/>
  <c r="F68" i="5" s="1"/>
  <c r="H32" i="5"/>
  <c r="F94" i="5" s="1"/>
  <c r="G30" i="5"/>
  <c r="F85" i="5" s="1"/>
  <c r="I29" i="5"/>
  <c r="F83" i="5" s="1"/>
  <c r="J26" i="5"/>
  <c r="F72" i="5" s="1"/>
  <c r="J27" i="5"/>
  <c r="F76" i="5" s="1"/>
  <c r="I30" i="5"/>
  <c r="F87" i="5" s="1"/>
  <c r="G31" i="5"/>
  <c r="F89" i="5" s="1"/>
  <c r="G39" i="5"/>
  <c r="F121" i="5" s="1"/>
  <c r="I33" i="5"/>
  <c r="F99" i="5" s="1"/>
  <c r="H35" i="5"/>
  <c r="F106" i="5" s="1"/>
  <c r="G38" i="5"/>
  <c r="F117" i="5" s="1"/>
  <c r="J35" i="5"/>
  <c r="F108" i="5" s="1"/>
  <c r="H34" i="5"/>
  <c r="F102" i="5" s="1"/>
  <c r="H25" i="5"/>
  <c r="F66" i="5" s="1"/>
  <c r="G68" i="5"/>
  <c r="G46" i="5"/>
  <c r="D69" i="5" s="1"/>
  <c r="C46" i="5"/>
  <c r="G69" i="5" l="1"/>
  <c r="H46" i="5"/>
  <c r="D70" i="5" s="1"/>
  <c r="G70" i="5" s="1"/>
  <c r="D46" i="5"/>
  <c r="I46" i="5" l="1"/>
  <c r="D71" i="5" s="1"/>
  <c r="G71" i="5" s="1"/>
  <c r="E46" i="5"/>
  <c r="B47" i="5" l="1"/>
  <c r="J46" i="5"/>
  <c r="D72" i="5" s="1"/>
  <c r="G72" i="5" l="1"/>
  <c r="G47" i="5"/>
  <c r="D73" i="5" s="1"/>
  <c r="G73" i="5" s="1"/>
  <c r="C47" i="5"/>
  <c r="H47" i="5" l="1"/>
  <c r="D74" i="5" s="1"/>
  <c r="G74" i="5" s="1"/>
  <c r="D47" i="5"/>
  <c r="I47" i="5" l="1"/>
  <c r="D75" i="5" s="1"/>
  <c r="E47" i="5"/>
  <c r="G75" i="5" l="1"/>
  <c r="B48" i="5"/>
  <c r="J47" i="5"/>
  <c r="D76" i="5" s="1"/>
  <c r="G76" i="5" s="1"/>
  <c r="C48" i="5" l="1"/>
  <c r="G48" i="5"/>
  <c r="D77" i="5" s="1"/>
  <c r="G77" i="5" l="1"/>
  <c r="D48" i="5"/>
  <c r="H48" i="5"/>
  <c r="D78" i="5" s="1"/>
  <c r="G78" i="5" s="1"/>
  <c r="I48" i="5" l="1"/>
  <c r="D79" i="5" s="1"/>
  <c r="G79" i="5" s="1"/>
  <c r="E48" i="5"/>
  <c r="J48" i="5" l="1"/>
  <c r="D80" i="5" s="1"/>
  <c r="G80" i="5" s="1"/>
  <c r="B49" i="5"/>
  <c r="C49" i="5" l="1"/>
  <c r="G49" i="5"/>
  <c r="D81" i="5" s="1"/>
  <c r="G81" i="5" s="1"/>
  <c r="D49" i="5" l="1"/>
  <c r="H49" i="5"/>
  <c r="D82" i="5" s="1"/>
  <c r="G82" i="5" s="1"/>
  <c r="I49" i="5" l="1"/>
  <c r="D83" i="5" s="1"/>
  <c r="G83" i="5" s="1"/>
  <c r="E49" i="5"/>
  <c r="B50" i="5" l="1"/>
  <c r="J49" i="5"/>
  <c r="D84" i="5" s="1"/>
  <c r="G84" i="5" s="1"/>
  <c r="G50" i="5" l="1"/>
  <c r="D85" i="5" s="1"/>
  <c r="G85" i="5" s="1"/>
  <c r="C50" i="5"/>
  <c r="H50" i="5" l="1"/>
  <c r="D86" i="5" s="1"/>
  <c r="G86" i="5" s="1"/>
  <c r="D50" i="5"/>
  <c r="E50" i="5" l="1"/>
  <c r="I50" i="5"/>
  <c r="D87" i="5" s="1"/>
  <c r="G87" i="5" s="1"/>
  <c r="J50" i="5" l="1"/>
  <c r="D88" i="5" s="1"/>
  <c r="G88" i="5" s="1"/>
  <c r="B51" i="5"/>
  <c r="G51" i="5" l="1"/>
  <c r="D89" i="5" s="1"/>
  <c r="G89" i="5" s="1"/>
  <c r="C51" i="5"/>
  <c r="H51" i="5" l="1"/>
  <c r="D90" i="5" s="1"/>
  <c r="G90" i="5" s="1"/>
  <c r="D51" i="5"/>
  <c r="I51" i="5" l="1"/>
  <c r="D91" i="5" s="1"/>
  <c r="G91" i="5" s="1"/>
  <c r="E51" i="5"/>
  <c r="B52" i="5" l="1"/>
  <c r="J51" i="5"/>
  <c r="D92" i="5" s="1"/>
  <c r="G92" i="5" s="1"/>
  <c r="C52" i="5" l="1"/>
  <c r="G52" i="5"/>
  <c r="D93" i="5" s="1"/>
  <c r="G93" i="5" s="1"/>
  <c r="D52" i="5" l="1"/>
  <c r="H52" i="5"/>
  <c r="D94" i="5" s="1"/>
  <c r="G94" i="5" s="1"/>
  <c r="E52" i="5" l="1"/>
  <c r="I52" i="5"/>
  <c r="D95" i="5" s="1"/>
  <c r="G95" i="5" s="1"/>
  <c r="B53" i="5" l="1"/>
  <c r="J52" i="5"/>
  <c r="D96" i="5" s="1"/>
  <c r="G96" i="5" s="1"/>
  <c r="C53" i="5" l="1"/>
  <c r="G53" i="5"/>
  <c r="D97" i="5" s="1"/>
  <c r="G97" i="5" s="1"/>
  <c r="H53" i="5" l="1"/>
  <c r="D98" i="5" s="1"/>
  <c r="G98" i="5" s="1"/>
  <c r="D53" i="5"/>
  <c r="I53" i="5" l="1"/>
  <c r="D99" i="5" s="1"/>
  <c r="G99" i="5" s="1"/>
  <c r="E53" i="5"/>
  <c r="B54" i="5" l="1"/>
  <c r="J53" i="5"/>
  <c r="D100" i="5" s="1"/>
  <c r="G100" i="5" s="1"/>
  <c r="G54" i="5" l="1"/>
  <c r="D101" i="5" s="1"/>
  <c r="G101" i="5" s="1"/>
  <c r="C54" i="5"/>
  <c r="D54" i="5" l="1"/>
  <c r="H54" i="5"/>
  <c r="D102" i="5" s="1"/>
  <c r="G102" i="5" s="1"/>
  <c r="E54" i="5" l="1"/>
  <c r="I54" i="5"/>
  <c r="D103" i="5" s="1"/>
  <c r="G103" i="5" s="1"/>
  <c r="B55" i="5" l="1"/>
  <c r="J54" i="5"/>
  <c r="D104" i="5" s="1"/>
  <c r="G104" i="5" s="1"/>
  <c r="G55" i="5" l="1"/>
  <c r="D105" i="5" s="1"/>
  <c r="G105" i="5" s="1"/>
  <c r="C55" i="5"/>
  <c r="H55" i="5" l="1"/>
  <c r="D106" i="5" s="1"/>
  <c r="G106" i="5" s="1"/>
  <c r="D55" i="5"/>
  <c r="I55" i="5" l="1"/>
  <c r="D107" i="5" s="1"/>
  <c r="G107" i="5" s="1"/>
  <c r="E55" i="5"/>
  <c r="B56" i="5" l="1"/>
  <c r="J55" i="5"/>
  <c r="D108" i="5" s="1"/>
  <c r="G108" i="5" s="1"/>
  <c r="C56" i="5" l="1"/>
  <c r="G56" i="5"/>
  <c r="D109" i="5" s="1"/>
  <c r="G109" i="5" s="1"/>
  <c r="D56" i="5" l="1"/>
  <c r="H56" i="5"/>
  <c r="D110" i="5" s="1"/>
  <c r="G110" i="5" s="1"/>
  <c r="E56" i="5" l="1"/>
  <c r="I56" i="5"/>
  <c r="D111" i="5" s="1"/>
  <c r="G111" i="5" s="1"/>
  <c r="J56" i="5" l="1"/>
  <c r="D112" i="5" s="1"/>
  <c r="G112" i="5" s="1"/>
  <c r="B57" i="5"/>
  <c r="C57" i="5" l="1"/>
  <c r="G57" i="5"/>
  <c r="D113" i="5" s="1"/>
  <c r="G113" i="5" s="1"/>
  <c r="D57" i="5" l="1"/>
  <c r="H57" i="5"/>
  <c r="D114" i="5" s="1"/>
  <c r="G114" i="5" s="1"/>
  <c r="I57" i="5" l="1"/>
  <c r="D115" i="5" s="1"/>
  <c r="G115" i="5" s="1"/>
  <c r="E57" i="5"/>
  <c r="B58" i="5" l="1"/>
  <c r="J57" i="5"/>
  <c r="D116" i="5" s="1"/>
  <c r="G116" i="5" s="1"/>
  <c r="G58" i="5" l="1"/>
  <c r="D117" i="5" s="1"/>
  <c r="G117" i="5" s="1"/>
  <c r="C58" i="5"/>
  <c r="D58" i="5" l="1"/>
  <c r="H58" i="5"/>
  <c r="D118" i="5" s="1"/>
  <c r="G118" i="5" s="1"/>
  <c r="E58" i="5" l="1"/>
  <c r="I58" i="5"/>
  <c r="D119" i="5" s="1"/>
  <c r="G119" i="5" s="1"/>
  <c r="J58" i="5" l="1"/>
  <c r="D120" i="5" s="1"/>
  <c r="G120" i="5" s="1"/>
  <c r="B59" i="5"/>
  <c r="G59" i="5" l="1"/>
  <c r="D121" i="5" s="1"/>
  <c r="G121" i="5" s="1"/>
  <c r="C59" i="5"/>
  <c r="H59" i="5" l="1"/>
  <c r="D122" i="5" s="1"/>
  <c r="G122" i="5" s="1"/>
  <c r="D59" i="5"/>
  <c r="E59" i="5" l="1"/>
  <c r="I59" i="5"/>
  <c r="D123" i="5" s="1"/>
  <c r="G123" i="5" s="1"/>
  <c r="B60" i="5" l="1"/>
  <c r="J59" i="5"/>
  <c r="D124" i="5" s="1"/>
  <c r="G124" i="5" s="1"/>
  <c r="C60" i="5" l="1"/>
  <c r="G60" i="5"/>
  <c r="D125" i="5" s="1"/>
  <c r="G125" i="5" s="1"/>
  <c r="H60" i="5" l="1"/>
  <c r="D126" i="5" s="1"/>
  <c r="G126" i="5" s="1"/>
  <c r="D60" i="5"/>
  <c r="E60" i="5" l="1"/>
  <c r="J60" i="5" s="1"/>
  <c r="D128" i="5" s="1"/>
  <c r="I60" i="5"/>
  <c r="D127" i="5" s="1"/>
  <c r="G127" i="5" s="1"/>
  <c r="G128" i="5" l="1"/>
  <c r="A1" i="5" s="1"/>
  <c r="K66" i="5"/>
  <c r="J67" i="5"/>
  <c r="K65" i="5"/>
  <c r="K67" i="5"/>
  <c r="J66" i="5"/>
  <c r="J65" i="5"/>
  <c r="J68" i="5"/>
  <c r="J69" i="5"/>
  <c r="K68" i="5"/>
  <c r="K69" i="5"/>
  <c r="J70" i="5"/>
  <c r="K70" i="5"/>
  <c r="C26" i="1" l="1"/>
  <c r="G26" i="1"/>
  <c r="B26" i="1"/>
  <c r="C25" i="1"/>
  <c r="B25" i="1"/>
  <c r="G25" i="1"/>
  <c r="C27" i="1"/>
  <c r="B27" i="1"/>
  <c r="G27" i="1"/>
  <c r="B29" i="1"/>
  <c r="C29" i="1"/>
  <c r="G29" i="1"/>
  <c r="B30" i="1"/>
  <c r="G30" i="1"/>
  <c r="C30" i="1"/>
  <c r="C28" i="1"/>
  <c r="B28" i="1"/>
  <c r="G28" i="1"/>
  <c r="G24" i="1" l="1"/>
  <c r="C24" i="1"/>
</calcChain>
</file>

<file path=xl/sharedStrings.xml><?xml version="1.0" encoding="utf-8"?>
<sst xmlns="http://schemas.openxmlformats.org/spreadsheetml/2006/main" count="146" uniqueCount="105">
  <si>
    <t>Away</t>
  </si>
  <si>
    <t>Home</t>
  </si>
  <si>
    <t>Over</t>
  </si>
  <si>
    <t>Under</t>
  </si>
  <si>
    <t>Line</t>
  </si>
  <si>
    <t>O / U</t>
  </si>
  <si>
    <t>Push</t>
  </si>
  <si>
    <t>Home Win</t>
  </si>
  <si>
    <t>Away Win</t>
  </si>
  <si>
    <t>Under Win</t>
  </si>
  <si>
    <t>Line Push</t>
  </si>
  <si>
    <t>O / U Push</t>
  </si>
  <si>
    <t>Over Win</t>
  </si>
  <si>
    <t>Insert Away Team Name</t>
  </si>
  <si>
    <t>New Line</t>
  </si>
  <si>
    <t>Insert Home Team Name</t>
  </si>
  <si>
    <t>Final Description</t>
  </si>
  <si>
    <t>Win Table</t>
  </si>
  <si>
    <t>Push Table</t>
  </si>
  <si>
    <t>Get Unique Selection Number</t>
  </si>
  <si>
    <t>VLOOKUP</t>
  </si>
  <si>
    <t>column</t>
  </si>
  <si>
    <t>row</t>
  </si>
  <si>
    <t>pick #</t>
  </si>
  <si>
    <t>win</t>
  </si>
  <si>
    <t>push</t>
  </si>
  <si>
    <t>Away win</t>
  </si>
  <si>
    <t>Home win</t>
  </si>
  <si>
    <t>Away win, tie, or Home win by 1</t>
  </si>
  <si>
    <t>Away win or tie</t>
  </si>
  <si>
    <t>Home tie Away</t>
  </si>
  <si>
    <t>Home win or tie</t>
  </si>
  <si>
    <t>Home win, tie, or Away win by 1</t>
  </si>
  <si>
    <t>Impossible Line:</t>
  </si>
  <si>
    <t>@</t>
  </si>
  <si>
    <t>Submission rules:</t>
  </si>
  <si>
    <t>A pick may be made or changed by any means of communication with these conditions:</t>
  </si>
  <si>
    <t>763.458.1631</t>
  </si>
  <si>
    <t>michael@shouper.com</t>
  </si>
  <si>
    <t>michael.e.shoup@ampf.com</t>
  </si>
  <si>
    <t>- The timestamp is confirmable</t>
  </si>
  <si>
    <t>- The pick or change is consistent with all rules and valid with your other selections</t>
  </si>
  <si>
    <t>- The pick or change must be communicated unambiguously</t>
  </si>
  <si>
    <t>- You send an updated pick spreadsheet Monday or Tuesday morning, when possible</t>
  </si>
  <si>
    <t>Your picks are independently locked in when each game starts.</t>
  </si>
  <si>
    <t>*Games airing on TV in Minneapolis/St. Paul broadcast area</t>
  </si>
  <si>
    <t>Sun, 12:00pm; CBS</t>
  </si>
  <si>
    <t>Sun, 7:20pm; *NBC</t>
  </si>
  <si>
    <t>Sun, 12:00pm; FOX</t>
  </si>
  <si>
    <t>Pittsburgh Steelers</t>
  </si>
  <si>
    <t>Green Bay Packers</t>
  </si>
  <si>
    <t>Atlanta Falcons</t>
  </si>
  <si>
    <t>Chicago Bears</t>
  </si>
  <si>
    <t>Minnesota Vikings</t>
  </si>
  <si>
    <t>Houston Texans</t>
  </si>
  <si>
    <t>Buffalo Bills</t>
  </si>
  <si>
    <t>Baltimore Ravens</t>
  </si>
  <si>
    <t>Detroit Lions</t>
  </si>
  <si>
    <t>Jacksonville Jaguars</t>
  </si>
  <si>
    <t>Las Vegas Raiders</t>
  </si>
  <si>
    <t>Seattle Seahawks</t>
  </si>
  <si>
    <t>Arizona Cardinals</t>
  </si>
  <si>
    <t>Los Angeles Rams</t>
  </si>
  <si>
    <t>Cleveland Browns</t>
  </si>
  <si>
    <t>Tampa Bay Buccaneers</t>
  </si>
  <si>
    <t>Philadelphia Eagles</t>
  </si>
  <si>
    <t>New York Jets</t>
  </si>
  <si>
    <t>Tennessee Titans</t>
  </si>
  <si>
    <t>Cincinnati Bengals</t>
  </si>
  <si>
    <t>Kansas City Chiefs</t>
  </si>
  <si>
    <t>Dallas Cowboys</t>
  </si>
  <si>
    <t>Indianapolis Colts</t>
  </si>
  <si>
    <t>New Orleans Saints</t>
  </si>
  <si>
    <t>Miami Dolphins</t>
  </si>
  <si>
    <t>MetLife Stadium</t>
  </si>
  <si>
    <t>Denver Broncos</t>
  </si>
  <si>
    <t>Washington Commanders</t>
  </si>
  <si>
    <t>Los Angeles Chargers</t>
  </si>
  <si>
    <t>New England Patriots</t>
  </si>
  <si>
    <t>Carolina Panthers</t>
  </si>
  <si>
    <t>San Francisco 49ers</t>
  </si>
  <si>
    <t>New York Giants</t>
  </si>
  <si>
    <t>U.S. Bank Stadium</t>
  </si>
  <si>
    <t>SoFi Stadium</t>
  </si>
  <si>
    <t>Paycor Stadium</t>
  </si>
  <si>
    <t>Allegiant Stadium</t>
  </si>
  <si>
    <t>EverBank Stadium</t>
  </si>
  <si>
    <t>Sun, 3:25pm; CBS</t>
  </si>
  <si>
    <t>Sun, 3:25pm; FOX</t>
  </si>
  <si>
    <t>Lincoln Financial Field</t>
  </si>
  <si>
    <t>Acrisure Stadium</t>
  </si>
  <si>
    <t>Sun, 3:25pm; *CBS</t>
  </si>
  <si>
    <t>Lumen Field</t>
  </si>
  <si>
    <t>Melbourne Cricket Ground</t>
  </si>
  <si>
    <t>Ford Field</t>
  </si>
  <si>
    <t>Nissan Stadium</t>
  </si>
  <si>
    <t>Lucas Oil Stadium</t>
  </si>
  <si>
    <t>Bank of America Stadium</t>
  </si>
  <si>
    <t>Reliant Stadium</t>
  </si>
  <si>
    <t>GEHA Field at Arrowhead Stadium</t>
  </si>
  <si>
    <t>2026 NFL Season: Week 1</t>
  </si>
  <si>
    <t>Thu, 7:35pm; Netflix</t>
  </si>
  <si>
    <t>Mon, 7:15pm; *ABC</t>
  </si>
  <si>
    <t>Wed, 7:20pm; *NBC</t>
  </si>
  <si>
    <t>Michigan can win a game in regular time, not make-believe time…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</si>
</sst>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,##0.0;\-#,##0.0;#,##0.0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orbel"/>
      <family val="2"/>
    </font>
    <font>
      <sz val="14"/>
      <color theme="1"/>
      <name val="Corbel"/>
      <family val="2"/>
    </font>
    <font>
      <b/>
      <sz val="14"/>
      <color theme="1"/>
      <name val="Corbel"/>
      <family val="2"/>
    </font>
    <font>
      <sz val="10"/>
      <color theme="0"/>
      <name val="Corbel"/>
      <family val="2"/>
    </font>
    <font>
      <b/>
      <sz val="18"/>
      <color theme="1"/>
      <name val="Corbel"/>
      <family val="2"/>
    </font>
    <font>
      <sz val="18"/>
      <color theme="1"/>
      <name val="Corbel"/>
      <family val="2"/>
    </font>
    <font>
      <b/>
      <u/>
      <sz val="10"/>
      <color theme="1"/>
      <name val="Corbel"/>
      <family val="2"/>
    </font>
    <font>
      <b/>
      <sz val="10"/>
      <color theme="1"/>
      <name val="Corbel"/>
      <family val="2"/>
    </font>
    <font>
      <sz val="8"/>
      <color theme="1"/>
      <name val="Corbel"/>
      <family val="2"/>
    </font>
    <font>
      <sz val="4"/>
      <color theme="1"/>
      <name val="Corbel"/>
      <family val="2"/>
    </font>
    <font>
      <sz val="11"/>
      <color theme="1"/>
      <name val="Corbel"/>
      <family val="2"/>
    </font>
    <font>
      <b/>
      <sz val="11"/>
      <color theme="1"/>
      <name val="Corbel"/>
      <family val="2"/>
    </font>
    <font>
      <sz val="18"/>
      <color theme="0"/>
      <name val="Corbel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orbel"/>
      <family val="2"/>
    </font>
  </fonts>
  <fills count="3">
    <fill>
      <patternFill patternType="none"/>
    </fill>
    <fill>
      <patternFill patternType="gray125"/>
    </fill>
    <fill>
      <patternFill patternType="solid">
        <fgColor rgb="FFDBD6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16" fillId="0" borderId="0"/>
    <xf numFmtId="0" fontId="17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Continuous"/>
    </xf>
    <xf numFmtId="0" fontId="3" fillId="2" borderId="4" xfId="0" applyFont="1" applyFill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9" fillId="0" borderId="0" xfId="0" applyFont="1"/>
    <xf numFmtId="0" fontId="2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2" fillId="0" borderId="0" xfId="0" quotePrefix="1" applyFont="1"/>
    <xf numFmtId="0" fontId="13" fillId="0" borderId="0" xfId="0" applyFont="1"/>
    <xf numFmtId="0" fontId="12" fillId="0" borderId="0" xfId="0" applyFont="1" applyAlignment="1">
      <alignment horizontal="left"/>
    </xf>
    <xf numFmtId="164" fontId="2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" vertical="center" wrapText="1"/>
    </xf>
    <xf numFmtId="0" fontId="15" fillId="0" borderId="0" xfId="0" applyFont="1"/>
    <xf numFmtId="0" fontId="18" fillId="0" borderId="0" xfId="0" applyFont="1"/>
    <xf numFmtId="0" fontId="0" fillId="0" borderId="0" xfId="0" applyAlignment="1">
      <alignment shrinkToFit="1"/>
    </xf>
    <xf numFmtId="0" fontId="2" fillId="0" borderId="0" xfId="0" applyFont="1" applyAlignment="1">
      <alignment horizontal="left" shrinkToFit="1"/>
    </xf>
  </cellXfs>
  <cellStyles count="3">
    <cellStyle name="Hyperlink 2" xfId="2" xr:uid="{719F0544-EED5-45C0-A505-4D83E3CAB93E}"/>
    <cellStyle name="Normal" xfId="0" builtinId="0"/>
    <cellStyle name="Normal 2" xfId="1" xr:uid="{342E6B39-F49B-4112-9746-FAD6662F665B}"/>
  </cellStyles>
  <dxfs count="10">
    <dxf>
      <font>
        <b val="0"/>
        <i val="0"/>
        <color auto="1"/>
      </font>
      <fill>
        <patternFill>
          <bgColor rgb="FFFF0000"/>
        </patternFill>
      </fill>
    </dxf>
    <dxf>
      <border>
        <left style="thin">
          <color theme="1" tint="0.499984740745262"/>
        </left>
        <right style="thin">
          <color theme="1" tint="0.499984740745262"/>
        </right>
        <bottom style="thin">
          <color theme="1" tint="0.499984740745262"/>
        </bottom>
        <vertical/>
        <horizontal/>
      </border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 tint="-0.34998626667073579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 patternType="solid">
          <bgColor theme="0" tint="-0.34998626667073579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i val="0"/>
      </font>
      <border>
        <vertical/>
        <horizontal/>
      </border>
    </dxf>
    <dxf>
      <font>
        <b/>
        <i val="0"/>
      </font>
      <border>
        <vertical/>
        <horizontal/>
      </border>
    </dxf>
    <dxf>
      <border>
        <bottom style="thin">
          <color theme="0" tint="-0.499984740745262"/>
        </bottom>
        <vertical/>
        <horizontal/>
      </border>
    </dxf>
    <dxf>
      <border>
        <bottom style="thin">
          <color theme="1" tint="0.499984740745262"/>
        </bottom>
        <vertical/>
        <horizontal/>
      </border>
    </dxf>
  </dxfs>
  <tableStyles count="0" defaultTableStyle="TableStyleMedium9" defaultPivotStyle="PivotStyleLight16"/>
  <colors>
    <mruColors>
      <color rgb="FFDBD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eriprise-my.sharepoint.com/personal/michael_e_shoup_ampf_com/Documents/Documents/NFL%20Pool/NFL_Pool_2023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ings"/>
      <sheetName val="Ledger"/>
      <sheetName val="Emails"/>
      <sheetName val="Import"/>
      <sheetName val="Imported"/>
      <sheetName val="weekly"/>
      <sheetName val="Schedule"/>
      <sheetName val="SendEmail"/>
      <sheetName val="PickList"/>
      <sheetName val="2023_Week_18"/>
      <sheetName val="2023_Week_17"/>
      <sheetName val="2023_Week_16"/>
      <sheetName val="2023_Week_15"/>
      <sheetName val="2023_Week_14"/>
      <sheetName val="2023_Week_13"/>
      <sheetName val="2023_Week_12"/>
      <sheetName val="2023_Week_11"/>
      <sheetName val="2023_Week_10"/>
      <sheetName val="2023_Week_9"/>
      <sheetName val="2023_Week_8"/>
      <sheetName val="2023_Week_7"/>
      <sheetName val="2023_Week_6"/>
      <sheetName val="2023_Week_5"/>
      <sheetName val="2023_Week_4"/>
      <sheetName val="2023_Week_3"/>
      <sheetName val="2023_Week_2"/>
      <sheetName val="2023_Week_1"/>
      <sheetName val="TeamMap"/>
      <sheetName val="luck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34">
          <cell r="A34" t="str">
            <v>Chicago</v>
          </cell>
          <cell r="B34" t="str">
            <v>Chicago Bears</v>
          </cell>
        </row>
        <row r="35">
          <cell r="A35" t="str">
            <v>Kansas City</v>
          </cell>
          <cell r="B35" t="str">
            <v>Kansas City Chiefs</v>
          </cell>
        </row>
        <row r="36">
          <cell r="A36" t="str">
            <v>Cleveland</v>
          </cell>
          <cell r="B36" t="str">
            <v>Cleveland Browns</v>
          </cell>
        </row>
        <row r="37">
          <cell r="A37" t="str">
            <v>Minnesota</v>
          </cell>
          <cell r="B37" t="str">
            <v>Minnesota Vikings</v>
          </cell>
        </row>
        <row r="38">
          <cell r="A38" t="str">
            <v>New Orleans</v>
          </cell>
          <cell r="B38" t="str">
            <v>New Orleans Saints</v>
          </cell>
        </row>
        <row r="39">
          <cell r="A39" t="str">
            <v>Houston</v>
          </cell>
          <cell r="B39" t="str">
            <v>Houston Texans</v>
          </cell>
        </row>
        <row r="40">
          <cell r="A40" t="str">
            <v>Las Vegas</v>
          </cell>
          <cell r="B40" t="str">
            <v>Las Vegas Raiders</v>
          </cell>
        </row>
        <row r="41">
          <cell r="A41" t="str">
            <v>Arizona</v>
          </cell>
          <cell r="B41" t="str">
            <v>Arizona Cardinals</v>
          </cell>
        </row>
        <row r="42">
          <cell r="A42" t="str">
            <v>Tampa Bay</v>
          </cell>
          <cell r="B42" t="str">
            <v>Tampa Bay Buccaneers</v>
          </cell>
        </row>
        <row r="43">
          <cell r="A43" t="str">
            <v>Baltimore</v>
          </cell>
          <cell r="B43" t="str">
            <v>Baltimore Ravens</v>
          </cell>
        </row>
        <row r="44">
          <cell r="A44" t="str">
            <v>Washington</v>
          </cell>
          <cell r="B44" t="str">
            <v>Washington Commanders</v>
          </cell>
        </row>
        <row r="45">
          <cell r="A45" t="str">
            <v>Dallas</v>
          </cell>
          <cell r="B45" t="str">
            <v>Dallas Cowboys</v>
          </cell>
        </row>
        <row r="46">
          <cell r="A46" t="str">
            <v>New York</v>
          </cell>
          <cell r="B46" t="str">
            <v>New York JETS OR GIANTS</v>
          </cell>
        </row>
        <row r="47">
          <cell r="A47" t="str">
            <v>Tennessee</v>
          </cell>
          <cell r="B47" t="str">
            <v>Tennessee Titans</v>
          </cell>
        </row>
        <row r="48">
          <cell r="A48" t="str">
            <v>Detroit</v>
          </cell>
          <cell r="B48" t="str">
            <v>Detroit Lions</v>
          </cell>
        </row>
        <row r="49">
          <cell r="A49" t="str">
            <v>Denver</v>
          </cell>
          <cell r="B49" t="str">
            <v>Denver Broncos</v>
          </cell>
        </row>
        <row r="50">
          <cell r="A50" t="str">
            <v>Green Bay</v>
          </cell>
          <cell r="B50" t="str">
            <v>Green Bay Packers</v>
          </cell>
        </row>
        <row r="51">
          <cell r="A51" t="str">
            <v>Buffalo</v>
          </cell>
          <cell r="B51" t="str">
            <v>Buffalo Bills</v>
          </cell>
        </row>
        <row r="52">
          <cell r="A52" t="str">
            <v>Cincinnati</v>
          </cell>
          <cell r="B52" t="str">
            <v>Cincinnati Bengals</v>
          </cell>
        </row>
        <row r="53">
          <cell r="A53" t="str">
            <v>Indianapolis</v>
          </cell>
          <cell r="B53" t="str">
            <v>Indianapolis Colts</v>
          </cell>
        </row>
        <row r="54">
          <cell r="A54" t="str">
            <v>Carolina</v>
          </cell>
          <cell r="B54" t="str">
            <v>Carolina Panthers</v>
          </cell>
        </row>
        <row r="55">
          <cell r="A55" t="str">
            <v>Jacksonville</v>
          </cell>
          <cell r="B55" t="str">
            <v>Jacksonville Jaguars</v>
          </cell>
        </row>
        <row r="56">
          <cell r="A56" t="str">
            <v>Miami</v>
          </cell>
          <cell r="B56" t="str">
            <v>Miami Dolphins</v>
          </cell>
        </row>
        <row r="57">
          <cell r="A57" t="str">
            <v>New England</v>
          </cell>
          <cell r="B57" t="str">
            <v>New England Patriots</v>
          </cell>
        </row>
        <row r="58">
          <cell r="A58" t="str">
            <v>Philadelphia</v>
          </cell>
          <cell r="B58" t="str">
            <v>Philadelphia Eagles</v>
          </cell>
        </row>
        <row r="59">
          <cell r="A59" t="str">
            <v>Los Angeles</v>
          </cell>
          <cell r="B59" t="str">
            <v>Los Angeles RAMS OR CHARGERS</v>
          </cell>
        </row>
        <row r="60">
          <cell r="A60" t="str">
            <v>Seattle</v>
          </cell>
          <cell r="B60" t="str">
            <v>Seattle Seahawks</v>
          </cell>
        </row>
        <row r="61">
          <cell r="A61" t="str">
            <v>Pittsburgh</v>
          </cell>
          <cell r="B61" t="str">
            <v>Pittsburgh Steelers</v>
          </cell>
        </row>
        <row r="62">
          <cell r="A62" t="str">
            <v>San Francisco</v>
          </cell>
          <cell r="B62" t="str">
            <v>San Francisco 49ers</v>
          </cell>
        </row>
        <row r="63">
          <cell r="A63" t="str">
            <v>Atlanta</v>
          </cell>
          <cell r="B63" t="str">
            <v>Atlanta Falcons</v>
          </cell>
        </row>
      </sheetData>
      <sheetData sheetId="2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4"/>
  <sheetViews>
    <sheetView showGridLines="0" tabSelected="1" zoomScale="90" zoomScaleNormal="90" zoomScaleSheetLayoutView="90" workbookViewId="0">
      <selection activeCell="K7" sqref="K7"/>
    </sheetView>
  </sheetViews>
  <sheetFormatPr defaultColWidth="10" defaultRowHeight="17.100000000000001" customHeight="1" x14ac:dyDescent="0.25"/>
  <cols>
    <col min="1" max="2" width="2.42578125" style="24" customWidth="1"/>
    <col min="3" max="3" width="17" style="24" customWidth="1"/>
    <col min="4" max="4" width="24.140625" style="24" bestFit="1" customWidth="1"/>
    <col min="5" max="5" width="22.85546875" style="24" customWidth="1"/>
    <col min="6" max="6" width="2.7109375" style="24" bestFit="1" customWidth="1"/>
    <col min="7" max="7" width="22.85546875" style="24" customWidth="1"/>
    <col min="8" max="9" width="8.5703125" style="24" customWidth="1"/>
    <col min="10" max="10" width="1.42578125" style="24" customWidth="1"/>
    <col min="11" max="14" width="6.42578125" style="24" customWidth="1"/>
    <col min="15" max="15" width="7.140625" style="24" customWidth="1"/>
    <col min="16" max="18" width="3.28515625" style="24" customWidth="1"/>
    <col min="19" max="16384" width="10" style="24"/>
  </cols>
  <sheetData>
    <row r="1" spans="1:18" ht="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31" t="s">
        <v>104</v>
      </c>
      <c r="L1" s="5"/>
      <c r="M1" s="5"/>
      <c r="N1" s="5"/>
      <c r="O1" s="5"/>
    </row>
    <row r="2" spans="1:18" ht="18.75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7" t="str">
        <f ca="1">IF(COUNTA(INDIRECT("K7:N"&amp;O2))&gt;6,"Too Many Picks!",IF(COUNTIF(INDIRECT("O7:O"&amp;O2),"Error!")&gt;0,"ERROR!",IF(COUNTA(INDIRECT("K7:N"&amp;O2))=6,"Perfect!",6-COUNTA(INDIRECT("K7:N"&amp;O2))&amp;" Picks Left")))</f>
        <v>6 Picks Left</v>
      </c>
      <c r="L2" s="8"/>
      <c r="M2" s="8"/>
      <c r="N2" s="9"/>
      <c r="O2" s="10">
        <f>6+COUNTA(B7:B22)</f>
        <v>22</v>
      </c>
    </row>
    <row r="3" spans="1:18" ht="1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8" ht="23.25" x14ac:dyDescent="0.25">
      <c r="A4" s="13"/>
      <c r="B4" s="11" t="s">
        <v>100</v>
      </c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1:18" ht="16.5" customHeight="1" x14ac:dyDescent="0.25">
      <c r="A5" s="13"/>
      <c r="B5" s="13"/>
      <c r="C5" s="11"/>
      <c r="D5" s="11"/>
      <c r="E5" s="29"/>
      <c r="F5" s="12"/>
      <c r="G5" s="12"/>
      <c r="H5" s="12"/>
      <c r="I5" s="12"/>
      <c r="J5" s="12"/>
      <c r="K5" s="12"/>
      <c r="L5" s="12"/>
      <c r="M5" s="12"/>
      <c r="N5" s="12"/>
      <c r="O5" s="13"/>
    </row>
    <row r="6" spans="1:18" ht="17.100000000000001" customHeight="1" x14ac:dyDescent="0.25">
      <c r="A6" s="14"/>
      <c r="B6" s="14"/>
      <c r="C6" s="15"/>
      <c r="D6" s="15"/>
      <c r="E6" s="15"/>
      <c r="F6" s="22"/>
      <c r="G6" s="15"/>
      <c r="H6" s="16" t="s">
        <v>4</v>
      </c>
      <c r="I6" s="16" t="s">
        <v>5</v>
      </c>
      <c r="J6" s="16"/>
      <c r="K6" s="17" t="s">
        <v>0</v>
      </c>
      <c r="L6" s="17" t="s">
        <v>1</v>
      </c>
      <c r="M6" s="17" t="s">
        <v>3</v>
      </c>
      <c r="N6" s="17" t="s">
        <v>2</v>
      </c>
      <c r="O6" s="14"/>
      <c r="P6" s="26" t="s">
        <v>35</v>
      </c>
    </row>
    <row r="7" spans="1:18" ht="16.5" customHeight="1" x14ac:dyDescent="0.25">
      <c r="A7" s="5"/>
      <c r="B7" t="s">
        <v>103</v>
      </c>
      <c r="C7"/>
      <c r="D7" s="33" t="s">
        <v>92</v>
      </c>
      <c r="E7" s="33" t="s">
        <v>78</v>
      </c>
      <c r="F7" t="s">
        <v>34</v>
      </c>
      <c r="G7" s="33" t="s">
        <v>60</v>
      </c>
      <c r="H7" s="28">
        <v>-3.5</v>
      </c>
      <c r="I7" s="18">
        <v>44.5</v>
      </c>
      <c r="J7" s="30"/>
      <c r="K7" s="19"/>
      <c r="L7" s="19"/>
      <c r="M7" s="19"/>
      <c r="N7" s="19"/>
      <c r="O7" s="10" t="str">
        <f t="shared" ref="O7:O9" si="0">IF(OR(COUNTA(K7:L7)=2,COUNTA(M7:N7)=2,AND(ISBLANK(B7),COUNTA(K7:N7)&gt;0),AND(H7="OFF",COUNTA(K7:L7)&gt;0),AND(I7="OFF",COUNTA(M7:N7)&gt;0)),"Error!","")</f>
        <v/>
      </c>
      <c r="Q7" s="25" t="s">
        <v>44</v>
      </c>
    </row>
    <row r="8" spans="1:18" ht="16.5" customHeight="1" x14ac:dyDescent="0.25">
      <c r="A8" s="5"/>
      <c r="B8" t="s">
        <v>101</v>
      </c>
      <c r="C8"/>
      <c r="D8" s="33" t="s">
        <v>93</v>
      </c>
      <c r="E8" s="33" t="s">
        <v>80</v>
      </c>
      <c r="F8" t="s">
        <v>34</v>
      </c>
      <c r="G8" s="33" t="s">
        <v>62</v>
      </c>
      <c r="H8" s="28">
        <v>-3.5</v>
      </c>
      <c r="I8" s="18">
        <v>48.5</v>
      </c>
      <c r="J8" s="18"/>
      <c r="K8" s="19"/>
      <c r="L8" s="19"/>
      <c r="M8" s="19"/>
      <c r="N8" s="19"/>
      <c r="O8" s="10" t="str">
        <f t="shared" si="0"/>
        <v/>
      </c>
      <c r="Q8" s="24" t="s">
        <v>36</v>
      </c>
    </row>
    <row r="9" spans="1:18" ht="16.5" customHeight="1" x14ac:dyDescent="0.25">
      <c r="A9" s="5"/>
      <c r="B9" t="s">
        <v>48</v>
      </c>
      <c r="C9"/>
      <c r="D9" s="33" t="s">
        <v>84</v>
      </c>
      <c r="E9" s="33" t="s">
        <v>64</v>
      </c>
      <c r="F9" t="s">
        <v>34</v>
      </c>
      <c r="G9" s="33" t="s">
        <v>68</v>
      </c>
      <c r="H9" s="28">
        <v>-3.5</v>
      </c>
      <c r="I9" s="18">
        <v>50.5</v>
      </c>
      <c r="J9" s="18"/>
      <c r="K9" s="19"/>
      <c r="L9" s="19"/>
      <c r="M9" s="19"/>
      <c r="N9" s="19"/>
      <c r="O9" s="10" t="str">
        <f t="shared" si="0"/>
        <v/>
      </c>
      <c r="R9" s="25" t="s">
        <v>40</v>
      </c>
    </row>
    <row r="10" spans="1:18" ht="16.5" customHeight="1" x14ac:dyDescent="0.25">
      <c r="A10" s="5"/>
      <c r="B10" t="s">
        <v>48</v>
      </c>
      <c r="C10"/>
      <c r="D10" s="33" t="s">
        <v>94</v>
      </c>
      <c r="E10" s="33" t="s">
        <v>72</v>
      </c>
      <c r="F10" t="s">
        <v>34</v>
      </c>
      <c r="G10" s="33" t="s">
        <v>57</v>
      </c>
      <c r="H10" s="28">
        <v>-7</v>
      </c>
      <c r="I10" s="18">
        <v>49.5</v>
      </c>
      <c r="J10" s="18"/>
      <c r="K10" s="19"/>
      <c r="L10" s="19"/>
      <c r="M10" s="19"/>
      <c r="N10" s="19"/>
      <c r="O10" s="10" t="str">
        <f>IF(OR(COUNTA(K10:L10)=2,COUNTA(M10:N10)=2,AND(ISBLANK(B10),COUNTA(K10:N10)&gt;0),AND(H10="OFF",COUNTA(K10:L10)&gt;0),AND(I10="OFF",COUNTA(M10:N10)&gt;0)),"Error!","")</f>
        <v/>
      </c>
      <c r="R10" s="25" t="s">
        <v>41</v>
      </c>
    </row>
    <row r="11" spans="1:18" ht="16.5" customHeight="1" x14ac:dyDescent="0.25">
      <c r="A11" s="5"/>
      <c r="B11" t="s">
        <v>46</v>
      </c>
      <c r="C11"/>
      <c r="D11" s="33" t="s">
        <v>95</v>
      </c>
      <c r="E11" s="33" t="s">
        <v>66</v>
      </c>
      <c r="F11" t="s">
        <v>34</v>
      </c>
      <c r="G11" s="33" t="s">
        <v>67</v>
      </c>
      <c r="H11" s="28">
        <v>-1.5</v>
      </c>
      <c r="I11" s="18">
        <v>39.5</v>
      </c>
      <c r="J11" s="18"/>
      <c r="K11" s="19"/>
      <c r="L11" s="19"/>
      <c r="M11" s="19"/>
      <c r="N11" s="19"/>
      <c r="O11" s="10" t="str">
        <f t="shared" ref="O11:O22" si="1">IF(OR(COUNTA(K11:L11)=2,COUNTA(M11:N11)=2,AND(ISBLANK(B11),COUNTA(K11:N11)&gt;0),AND(H11="OFF",COUNTA(K11:L11)&gt;0),AND(I11="OFF",COUNTA(M11:N11)&gt;0)),"Error!","")</f>
        <v/>
      </c>
      <c r="R11" s="25" t="s">
        <v>42</v>
      </c>
    </row>
    <row r="12" spans="1:18" ht="16.5" customHeight="1" x14ac:dyDescent="0.25">
      <c r="A12" s="5"/>
      <c r="B12" t="s">
        <v>46</v>
      </c>
      <c r="C12"/>
      <c r="D12" s="33" t="s">
        <v>96</v>
      </c>
      <c r="E12" s="33" t="s">
        <v>56</v>
      </c>
      <c r="F12" t="s">
        <v>34</v>
      </c>
      <c r="G12" s="33" t="s">
        <v>71</v>
      </c>
      <c r="H12" s="28">
        <v>3</v>
      </c>
      <c r="I12" s="18">
        <v>47.5</v>
      </c>
      <c r="J12" s="18"/>
      <c r="K12" s="19"/>
      <c r="L12" s="19"/>
      <c r="M12" s="19"/>
      <c r="N12" s="19"/>
      <c r="O12" s="10" t="str">
        <f t="shared" si="1"/>
        <v/>
      </c>
      <c r="R12" s="25" t="s">
        <v>43</v>
      </c>
    </row>
    <row r="13" spans="1:18" ht="16.5" customHeight="1" x14ac:dyDescent="0.25">
      <c r="A13" s="5"/>
      <c r="B13" t="s">
        <v>48</v>
      </c>
      <c r="C13"/>
      <c r="D13" s="33" t="s">
        <v>90</v>
      </c>
      <c r="E13" s="33" t="s">
        <v>51</v>
      </c>
      <c r="F13" t="s">
        <v>34</v>
      </c>
      <c r="G13" s="33" t="s">
        <v>49</v>
      </c>
      <c r="H13" s="28">
        <v>-3.5</v>
      </c>
      <c r="I13" s="18">
        <v>42.5</v>
      </c>
      <c r="J13" s="18"/>
      <c r="K13" s="19"/>
      <c r="L13" s="19"/>
      <c r="M13" s="19"/>
      <c r="N13" s="19"/>
      <c r="O13" s="10" t="str">
        <f t="shared" si="1"/>
        <v/>
      </c>
      <c r="R13" s="25"/>
    </row>
    <row r="14" spans="1:18" ht="16.5" customHeight="1" x14ac:dyDescent="0.25">
      <c r="A14" s="5"/>
      <c r="B14" t="s">
        <v>48</v>
      </c>
      <c r="C14"/>
      <c r="D14" s="33" t="s">
        <v>97</v>
      </c>
      <c r="E14" s="33" t="s">
        <v>52</v>
      </c>
      <c r="F14" t="s">
        <v>34</v>
      </c>
      <c r="G14" s="33" t="s">
        <v>79</v>
      </c>
      <c r="H14" s="28">
        <v>3</v>
      </c>
      <c r="I14" s="18">
        <v>46.5</v>
      </c>
      <c r="J14" s="18"/>
      <c r="K14" s="19"/>
      <c r="L14" s="19"/>
      <c r="M14" s="19"/>
      <c r="N14" s="19"/>
      <c r="O14" s="10" t="str">
        <f t="shared" si="1"/>
        <v/>
      </c>
      <c r="Q14" s="24" t="s">
        <v>45</v>
      </c>
      <c r="R14" s="25"/>
    </row>
    <row r="15" spans="1:18" ht="16.5" customHeight="1" x14ac:dyDescent="0.25">
      <c r="A15" s="5"/>
      <c r="B15" t="s">
        <v>46</v>
      </c>
      <c r="C15"/>
      <c r="D15" s="33" t="s">
        <v>86</v>
      </c>
      <c r="E15" s="33" t="s">
        <v>63</v>
      </c>
      <c r="F15" t="s">
        <v>34</v>
      </c>
      <c r="G15" s="33" t="s">
        <v>58</v>
      </c>
      <c r="H15" s="28">
        <v>-7.5</v>
      </c>
      <c r="I15" s="18">
        <v>40.5</v>
      </c>
      <c r="J15" s="18"/>
      <c r="K15" s="19"/>
      <c r="L15" s="19"/>
      <c r="M15" s="19"/>
      <c r="N15" s="19"/>
      <c r="O15" s="10" t="str">
        <f t="shared" si="1"/>
        <v/>
      </c>
      <c r="Q15" s="32"/>
      <c r="R15" s="25"/>
    </row>
    <row r="16" spans="1:18" ht="16.5" customHeight="1" x14ac:dyDescent="0.25">
      <c r="A16" s="5"/>
      <c r="B16" t="s">
        <v>46</v>
      </c>
      <c r="C16"/>
      <c r="D16" s="33" t="s">
        <v>98</v>
      </c>
      <c r="E16" s="33" t="s">
        <v>55</v>
      </c>
      <c r="F16" t="s">
        <v>34</v>
      </c>
      <c r="G16" s="33" t="s">
        <v>54</v>
      </c>
      <c r="H16" s="28">
        <v>1.5</v>
      </c>
      <c r="I16" s="18">
        <v>44.5</v>
      </c>
      <c r="J16" s="18"/>
      <c r="K16" s="19"/>
      <c r="L16" s="19"/>
      <c r="M16" s="19"/>
      <c r="N16" s="19"/>
      <c r="O16" s="10" t="str">
        <f t="shared" si="1"/>
        <v/>
      </c>
      <c r="P16" s="27" t="s">
        <v>38</v>
      </c>
      <c r="R16" s="25"/>
    </row>
    <row r="17" spans="1:17" ht="16.5" customHeight="1" x14ac:dyDescent="0.25">
      <c r="A17" s="5"/>
      <c r="B17" t="s">
        <v>88</v>
      </c>
      <c r="C17"/>
      <c r="D17" s="33" t="s">
        <v>85</v>
      </c>
      <c r="E17" s="33" t="s">
        <v>73</v>
      </c>
      <c r="F17" t="s">
        <v>34</v>
      </c>
      <c r="G17" s="33" t="s">
        <v>59</v>
      </c>
      <c r="H17" s="28">
        <v>-3.5</v>
      </c>
      <c r="I17" s="18">
        <v>40.5</v>
      </c>
      <c r="J17" s="18"/>
      <c r="K17" s="19"/>
      <c r="L17" s="19"/>
      <c r="M17" s="19"/>
      <c r="N17" s="19"/>
      <c r="O17" s="10" t="str">
        <f t="shared" si="1"/>
        <v/>
      </c>
      <c r="P17" s="27" t="s">
        <v>39</v>
      </c>
    </row>
    <row r="18" spans="1:17" ht="16.5" customHeight="1" x14ac:dyDescent="0.25">
      <c r="A18" s="5"/>
      <c r="B18" t="s">
        <v>91</v>
      </c>
      <c r="C18"/>
      <c r="D18" s="33" t="s">
        <v>82</v>
      </c>
      <c r="E18" s="33" t="s">
        <v>50</v>
      </c>
      <c r="F18" t="s">
        <v>34</v>
      </c>
      <c r="G18" s="33" t="s">
        <v>53</v>
      </c>
      <c r="H18" s="28">
        <v>-1.5</v>
      </c>
      <c r="I18" s="18">
        <v>46.5</v>
      </c>
      <c r="J18" s="18"/>
      <c r="K18" s="19"/>
      <c r="L18" s="19"/>
      <c r="M18" s="19"/>
      <c r="N18" s="19"/>
      <c r="O18" s="10" t="str">
        <f t="shared" si="1"/>
        <v/>
      </c>
      <c r="P18" s="27" t="s">
        <v>37</v>
      </c>
    </row>
    <row r="19" spans="1:17" ht="16.5" customHeight="1" x14ac:dyDescent="0.25">
      <c r="A19" s="5"/>
      <c r="B19" t="s">
        <v>88</v>
      </c>
      <c r="C19"/>
      <c r="D19" s="33" t="s">
        <v>89</v>
      </c>
      <c r="E19" s="33" t="s">
        <v>76</v>
      </c>
      <c r="F19" t="s">
        <v>34</v>
      </c>
      <c r="G19" s="33" t="s">
        <v>65</v>
      </c>
      <c r="H19" s="28">
        <v>-4.5</v>
      </c>
      <c r="I19" s="18">
        <v>44.5</v>
      </c>
      <c r="J19" s="18"/>
      <c r="K19" s="19"/>
      <c r="L19" s="19"/>
      <c r="M19" s="19"/>
      <c r="N19" s="19"/>
      <c r="O19" s="10" t="str">
        <f t="shared" si="1"/>
        <v/>
      </c>
    </row>
    <row r="20" spans="1:17" ht="16.5" customHeight="1" x14ac:dyDescent="0.25">
      <c r="A20" s="5"/>
      <c r="B20" t="s">
        <v>87</v>
      </c>
      <c r="C20"/>
      <c r="D20" s="33" t="s">
        <v>83</v>
      </c>
      <c r="E20" s="33" t="s">
        <v>61</v>
      </c>
      <c r="F20" t="s">
        <v>34</v>
      </c>
      <c r="G20" s="33" t="s">
        <v>77</v>
      </c>
      <c r="H20" s="28">
        <v>-10</v>
      </c>
      <c r="I20" s="18">
        <v>47.5</v>
      </c>
      <c r="J20" s="18"/>
      <c r="K20" s="19"/>
      <c r="L20" s="19"/>
      <c r="M20" s="19"/>
      <c r="N20" s="19"/>
      <c r="O20" s="10" t="str">
        <f t="shared" si="1"/>
        <v/>
      </c>
      <c r="P20" s="27"/>
    </row>
    <row r="21" spans="1:17" ht="16.5" customHeight="1" x14ac:dyDescent="0.25">
      <c r="A21" s="5"/>
      <c r="B21" t="s">
        <v>47</v>
      </c>
      <c r="C21"/>
      <c r="D21" s="33" t="s">
        <v>74</v>
      </c>
      <c r="E21" t="s">
        <v>70</v>
      </c>
      <c r="F21" t="s">
        <v>34</v>
      </c>
      <c r="G21" t="s">
        <v>81</v>
      </c>
      <c r="H21" s="28">
        <v>3</v>
      </c>
      <c r="I21" s="18">
        <v>48.5</v>
      </c>
      <c r="J21" s="18"/>
      <c r="K21" s="19"/>
      <c r="L21" s="19"/>
      <c r="M21" s="19"/>
      <c r="N21" s="19"/>
      <c r="O21" s="10" t="str">
        <f t="shared" si="1"/>
        <v/>
      </c>
      <c r="P21" s="27"/>
    </row>
    <row r="22" spans="1:17" ht="16.5" customHeight="1" x14ac:dyDescent="0.25">
      <c r="A22" s="5"/>
      <c r="B22" t="s">
        <v>102</v>
      </c>
      <c r="C22"/>
      <c r="D22" s="33" t="s">
        <v>99</v>
      </c>
      <c r="E22" t="s">
        <v>75</v>
      </c>
      <c r="F22" t="s">
        <v>34</v>
      </c>
      <c r="G22" t="s">
        <v>69</v>
      </c>
      <c r="H22" s="28">
        <v>-3</v>
      </c>
      <c r="I22" s="18">
        <v>42.5</v>
      </c>
      <c r="J22" s="18"/>
      <c r="K22" s="19"/>
      <c r="L22" s="19"/>
      <c r="M22" s="19"/>
      <c r="N22" s="19"/>
      <c r="O22" s="10" t="str">
        <f t="shared" si="1"/>
        <v/>
      </c>
      <c r="P22" s="27"/>
    </row>
    <row r="23" spans="1:17" ht="17.100000000000001" customHeight="1" x14ac:dyDescent="0.25">
      <c r="A23" s="5"/>
      <c r="B23" s="5"/>
      <c r="C23" s="5"/>
      <c r="D23" s="5"/>
      <c r="E23" s="5"/>
      <c r="F23" s="5"/>
      <c r="G23" s="23"/>
      <c r="H23" s="5"/>
      <c r="I23" s="5"/>
      <c r="J23" s="5"/>
      <c r="K23" s="5"/>
      <c r="L23" s="5"/>
      <c r="M23" s="5"/>
      <c r="N23" s="5"/>
      <c r="O23" s="5"/>
    </row>
    <row r="24" spans="1:17" ht="16.5" customHeight="1" x14ac:dyDescent="0.25">
      <c r="A24" s="5"/>
      <c r="B24" s="5"/>
      <c r="C24" s="20" t="str">
        <f ca="1">IF(B25="","","You win if…")</f>
        <v/>
      </c>
      <c r="D24" s="20"/>
      <c r="E24" s="5"/>
      <c r="F24" s="5"/>
      <c r="G24" s="20" t="str">
        <f ca="1">IF(B25="","","You push if…")</f>
        <v/>
      </c>
      <c r="H24" s="20"/>
      <c r="I24" s="5"/>
      <c r="J24" s="5"/>
      <c r="K24" s="5"/>
      <c r="L24" s="5"/>
      <c r="M24" s="5"/>
      <c r="N24" s="5"/>
      <c r="O24" s="5"/>
    </row>
    <row r="25" spans="1:17" ht="16.5" customHeight="1" x14ac:dyDescent="0.25">
      <c r="A25" s="5"/>
      <c r="B25" s="21" t="str">
        <f ca="1">IF(ISERROR(calcs!J65),"",calcs!I65)</f>
        <v/>
      </c>
      <c r="C25" s="34" t="str">
        <f ca="1">IF(ISERROR(calcs!J65),"",calcs!J65)</f>
        <v/>
      </c>
      <c r="D25" s="34"/>
      <c r="E25" s="34"/>
      <c r="F25" s="5"/>
      <c r="G25" s="34" t="str">
        <f ca="1">IF(ISERROR(calcs!J65),"",calcs!K65)</f>
        <v/>
      </c>
      <c r="H25" s="34"/>
      <c r="I25" s="34"/>
      <c r="J25" s="34"/>
      <c r="K25" s="34"/>
      <c r="L25" s="34"/>
      <c r="M25" s="34"/>
      <c r="N25" s="34"/>
      <c r="O25" s="5"/>
    </row>
    <row r="26" spans="1:17" ht="16.5" customHeight="1" x14ac:dyDescent="0.25">
      <c r="A26" s="5"/>
      <c r="B26" s="21" t="str">
        <f ca="1">IF(ISERROR(calcs!J66),"",calcs!I66)</f>
        <v/>
      </c>
      <c r="C26" s="34" t="str">
        <f ca="1">IF(ISERROR(calcs!J66),"",calcs!J66)</f>
        <v/>
      </c>
      <c r="D26" s="34"/>
      <c r="E26" s="34"/>
      <c r="F26" s="5"/>
      <c r="G26" s="34" t="str">
        <f ca="1">IF(ISERROR(calcs!J66),"",calcs!K66)</f>
        <v/>
      </c>
      <c r="H26" s="34"/>
      <c r="I26" s="34"/>
      <c r="J26" s="34"/>
      <c r="K26" s="34"/>
      <c r="L26" s="34"/>
      <c r="M26" s="34"/>
      <c r="N26" s="34"/>
      <c r="O26" s="5"/>
    </row>
    <row r="27" spans="1:17" ht="16.5" customHeight="1" x14ac:dyDescent="0.25">
      <c r="A27" s="5"/>
      <c r="B27" s="21" t="str">
        <f ca="1">IF(ISERROR(calcs!J67),"",calcs!I67)</f>
        <v/>
      </c>
      <c r="C27" s="34" t="str">
        <f ca="1">IF(ISERROR(calcs!J67),"",calcs!J67)</f>
        <v/>
      </c>
      <c r="D27" s="34"/>
      <c r="E27" s="34"/>
      <c r="F27" s="5"/>
      <c r="G27" s="34" t="str">
        <f ca="1">IF(ISERROR(calcs!J67),"",calcs!K67)</f>
        <v/>
      </c>
      <c r="H27" s="34"/>
      <c r="I27" s="34"/>
      <c r="J27" s="34"/>
      <c r="K27" s="34"/>
      <c r="L27" s="34"/>
      <c r="M27" s="34"/>
      <c r="N27" s="34"/>
      <c r="O27" s="5"/>
    </row>
    <row r="28" spans="1:17" ht="16.5" customHeight="1" x14ac:dyDescent="0.25">
      <c r="A28" s="5"/>
      <c r="B28" s="21" t="str">
        <f ca="1">IF(ISERROR(calcs!J68),"",calcs!I68)</f>
        <v/>
      </c>
      <c r="C28" s="34" t="str">
        <f ca="1">IF(ISERROR(calcs!J68),"",calcs!J68)</f>
        <v/>
      </c>
      <c r="D28" s="34"/>
      <c r="E28" s="34"/>
      <c r="F28" s="5"/>
      <c r="G28" s="34" t="str">
        <f ca="1">IF(ISERROR(calcs!J68),"",calcs!K68)</f>
        <v/>
      </c>
      <c r="H28" s="34"/>
      <c r="I28" s="34"/>
      <c r="J28" s="34"/>
      <c r="K28" s="34"/>
      <c r="L28" s="34"/>
      <c r="M28" s="34"/>
      <c r="N28" s="34"/>
      <c r="O28" s="5"/>
    </row>
    <row r="29" spans="1:17" ht="16.5" customHeight="1" x14ac:dyDescent="0.25">
      <c r="A29" s="5"/>
      <c r="B29" s="21" t="str">
        <f ca="1">IF(ISERROR(calcs!J69),"",calcs!I69)</f>
        <v/>
      </c>
      <c r="C29" s="34" t="str">
        <f ca="1">IF(ISERROR(calcs!J69),"",calcs!J69)</f>
        <v/>
      </c>
      <c r="D29" s="34"/>
      <c r="E29" s="34"/>
      <c r="F29" s="5"/>
      <c r="G29" s="34" t="str">
        <f ca="1">IF(ISERROR(calcs!J69),"",calcs!K69)</f>
        <v/>
      </c>
      <c r="H29" s="34"/>
      <c r="I29" s="34"/>
      <c r="J29" s="34"/>
      <c r="K29" s="34"/>
      <c r="L29" s="34"/>
      <c r="M29" s="34"/>
      <c r="N29" s="34"/>
      <c r="O29" s="5"/>
    </row>
    <row r="30" spans="1:17" ht="16.5" customHeight="1" x14ac:dyDescent="0.25">
      <c r="A30" s="5"/>
      <c r="B30" s="21" t="str">
        <f ca="1">IF(ISERROR(calcs!J70),"",calcs!I70)</f>
        <v/>
      </c>
      <c r="C30" s="34" t="str">
        <f ca="1">IF(ISERROR(calcs!J70),"",calcs!J70)</f>
        <v/>
      </c>
      <c r="D30" s="34"/>
      <c r="E30" s="34"/>
      <c r="F30" s="5"/>
      <c r="G30" s="34" t="str">
        <f ca="1">IF(ISERROR(calcs!J70),"",calcs!K70)</f>
        <v/>
      </c>
      <c r="H30" s="34"/>
      <c r="I30" s="34"/>
      <c r="J30" s="34"/>
      <c r="K30" s="34"/>
      <c r="L30" s="34"/>
      <c r="M30" s="34"/>
      <c r="N30" s="34"/>
      <c r="O30" s="5"/>
    </row>
    <row r="31" spans="1:17" customFormat="1" ht="16.5" customHeight="1" x14ac:dyDescent="0.25">
      <c r="P31" s="24"/>
      <c r="Q31" s="24"/>
    </row>
    <row r="32" spans="1:17" customFormat="1" ht="17.100000000000001" customHeight="1" x14ac:dyDescent="0.25"/>
    <row r="33" spans="16:17" customFormat="1" ht="17.100000000000001" customHeight="1" x14ac:dyDescent="0.25"/>
    <row r="34" spans="16:17" customFormat="1" ht="17.100000000000001" customHeight="1" x14ac:dyDescent="0.25"/>
    <row r="35" spans="16:17" customFormat="1" ht="17.100000000000001" customHeight="1" x14ac:dyDescent="0.25"/>
    <row r="36" spans="16:17" customFormat="1" ht="17.100000000000001" customHeight="1" x14ac:dyDescent="0.25"/>
    <row r="37" spans="16:17" customFormat="1" ht="17.100000000000001" customHeight="1" x14ac:dyDescent="0.25"/>
    <row r="38" spans="16:17" customFormat="1" ht="17.100000000000001" customHeight="1" x14ac:dyDescent="0.25"/>
    <row r="39" spans="16:17" customFormat="1" ht="17.100000000000001" customHeight="1" x14ac:dyDescent="0.25"/>
    <row r="40" spans="16:17" customFormat="1" ht="17.100000000000001" customHeight="1" x14ac:dyDescent="0.25"/>
    <row r="41" spans="16:17" customFormat="1" ht="17.100000000000001" customHeight="1" x14ac:dyDescent="0.25"/>
    <row r="42" spans="16:17" customFormat="1" ht="17.100000000000001" customHeight="1" x14ac:dyDescent="0.25"/>
    <row r="43" spans="16:17" customFormat="1" ht="17.100000000000001" customHeight="1" x14ac:dyDescent="0.25"/>
    <row r="44" spans="16:17" ht="17.100000000000001" customHeight="1" x14ac:dyDescent="0.25">
      <c r="P44"/>
      <c r="Q44"/>
    </row>
  </sheetData>
  <sheetProtection algorithmName="SHA-512" hashValue="NgteRejr2hRoFOKMUckq5aHrAoRRgjsxJtuNa/2iHXtTO7CWB2cIdqfIx5/k7nxTV3u4yTOsbq1ui5AyNeivfw==" saltValue="6dL9HlY93WstqB/aq9L6lg==" spinCount="100000" sheet="1" objects="1" scenarios="1"/>
  <mergeCells count="12">
    <mergeCell ref="G30:N30"/>
    <mergeCell ref="C25:E25"/>
    <mergeCell ref="C26:E26"/>
    <mergeCell ref="C27:E27"/>
    <mergeCell ref="C28:E28"/>
    <mergeCell ref="C29:E29"/>
    <mergeCell ref="C30:E30"/>
    <mergeCell ref="G25:N25"/>
    <mergeCell ref="G26:N26"/>
    <mergeCell ref="G27:N27"/>
    <mergeCell ref="G28:N28"/>
    <mergeCell ref="G29:N29"/>
  </mergeCells>
  <conditionalFormatting sqref="B7:J22">
    <cfRule type="expression" dxfId="9" priority="14">
      <formula>ISBLANK($B7)=FALSE</formula>
    </cfRule>
  </conditionalFormatting>
  <conditionalFormatting sqref="B25:N30">
    <cfRule type="expression" dxfId="8" priority="1">
      <formula>$B25&lt;&gt;""</formula>
    </cfRule>
  </conditionalFormatting>
  <conditionalFormatting sqref="E7:E22">
    <cfRule type="expression" dxfId="7" priority="12">
      <formula>ISBLANK($K7)=FALSE</formula>
    </cfRule>
  </conditionalFormatting>
  <conditionalFormatting sqref="G7:G22">
    <cfRule type="expression" dxfId="6" priority="11">
      <formula>ISBLANK($L7)=FALSE</formula>
    </cfRule>
  </conditionalFormatting>
  <conditionalFormatting sqref="H7:H22">
    <cfRule type="expression" dxfId="5" priority="19">
      <formula>OR(ISBLANK(K7)=FALSE,ISBLANK(L7)=FALSE)</formula>
    </cfRule>
  </conditionalFormatting>
  <conditionalFormatting sqref="I7:I22">
    <cfRule type="expression" dxfId="4" priority="18">
      <formula>OR(ISBLANK(M7)=FALSE,ISBLANK(N7)=FALSE)</formula>
    </cfRule>
  </conditionalFormatting>
  <conditionalFormatting sqref="K2:N2">
    <cfRule type="expression" dxfId="3" priority="15">
      <formula>OR($K$2="Too Many Picks!",$K$2="Error!")</formula>
    </cfRule>
    <cfRule type="expression" dxfId="2" priority="27">
      <formula>$K$2="Perfect!"</formula>
    </cfRule>
  </conditionalFormatting>
  <conditionalFormatting sqref="K7:N22">
    <cfRule type="expression" dxfId="1" priority="13">
      <formula>ISBLANK($B7)=FALSE</formula>
    </cfRule>
    <cfRule type="expression" dxfId="0" priority="28">
      <formula>$O7="Error!"</formula>
    </cfRule>
  </conditionalFormatting>
  <pageMargins left="0.7" right="0.7" top="0.75" bottom="0.75" header="0.3" footer="0.3"/>
  <pageSetup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I128"/>
  <sheetViews>
    <sheetView zoomScaleNormal="100" workbookViewId="0"/>
  </sheetViews>
  <sheetFormatPr defaultColWidth="10" defaultRowHeight="12.75" x14ac:dyDescent="0.2"/>
  <cols>
    <col min="1" max="16384" width="10" style="1"/>
  </cols>
  <sheetData>
    <row r="1" spans="1:35" x14ac:dyDescent="0.2">
      <c r="A1" s="1" t="str">
        <f ca="1">G65&amp;G66&amp;G67&amp;G68&amp;G69&amp;G70&amp;G71&amp;G72&amp;G73&amp;G74&amp;G75&amp;G76&amp;G77&amp;G78&amp;G79&amp;G80&amp;G81&amp;G82&amp;G83&amp;G84&amp;G85&amp;G86&amp;G87&amp;G88&amp;G89&amp;G90&amp;G91&amp;G92&amp;G93&amp;G94&amp;G95&amp;G96&amp;G97&amp;G98&amp;G99&amp;G100&amp;G101&amp;G102&amp;G103&amp;G104&amp;G105&amp;G106&amp;G107&amp;G108&amp;G109&amp;G110&amp;G111&amp;G112&amp;G113&amp;G114&amp;G115&amp;G116&amp;G117&amp;G118&amp;G119&amp;G120&amp;G121&amp;G122&amp;G123&amp;G124&amp;G125&amp;G126&amp;G127&amp;G128</f>
        <v/>
      </c>
      <c r="D1" s="4" t="s">
        <v>33</v>
      </c>
      <c r="E1" s="1" t="str">
        <f>Sheet1!K1</f>
        <v>Michigan can win a game in regular time, not make-believe time…</v>
      </c>
    </row>
    <row r="3" spans="1:35" x14ac:dyDescent="0.2">
      <c r="B3" s="1" t="s">
        <v>8</v>
      </c>
      <c r="C3" s="1" t="s">
        <v>7</v>
      </c>
      <c r="D3" s="1" t="s">
        <v>10</v>
      </c>
      <c r="E3" s="1" t="s">
        <v>9</v>
      </c>
      <c r="F3" s="1" t="s">
        <v>12</v>
      </c>
      <c r="G3" s="1" t="s">
        <v>11</v>
      </c>
      <c r="I3" s="1" t="str">
        <f t="shared" ref="I3:N3" si="0">B3</f>
        <v>Away Win</v>
      </c>
      <c r="J3" s="1" t="str">
        <f t="shared" si="0"/>
        <v>Home Win</v>
      </c>
      <c r="K3" s="1" t="str">
        <f t="shared" si="0"/>
        <v>Line Push</v>
      </c>
      <c r="L3" s="1" t="str">
        <f t="shared" si="0"/>
        <v>Under Win</v>
      </c>
      <c r="M3" s="1" t="str">
        <f t="shared" si="0"/>
        <v>Over Win</v>
      </c>
      <c r="N3" s="1" t="str">
        <f t="shared" si="0"/>
        <v>O / U Push</v>
      </c>
      <c r="P3" s="1" t="str">
        <f t="shared" ref="P3:U3" si="1">I3</f>
        <v>Away Win</v>
      </c>
      <c r="Q3" s="1" t="str">
        <f t="shared" si="1"/>
        <v>Home Win</v>
      </c>
      <c r="R3" s="1" t="str">
        <f t="shared" si="1"/>
        <v>Line Push</v>
      </c>
      <c r="S3" s="1" t="str">
        <f t="shared" si="1"/>
        <v>Under Win</v>
      </c>
      <c r="T3" s="1" t="str">
        <f t="shared" si="1"/>
        <v>Over Win</v>
      </c>
      <c r="U3" s="1" t="str">
        <f t="shared" si="1"/>
        <v>O / U Push</v>
      </c>
      <c r="W3" s="1" t="str">
        <f t="shared" ref="W3:AB3" si="2">P3</f>
        <v>Away Win</v>
      </c>
      <c r="X3" s="1" t="str">
        <f t="shared" si="2"/>
        <v>Home Win</v>
      </c>
      <c r="Y3" s="1" t="str">
        <f t="shared" si="2"/>
        <v>Line Push</v>
      </c>
      <c r="Z3" s="1" t="str">
        <f t="shared" si="2"/>
        <v>Under Win</v>
      </c>
      <c r="AA3" s="1" t="str">
        <f t="shared" si="2"/>
        <v>Over Win</v>
      </c>
      <c r="AB3" s="1" t="str">
        <f t="shared" si="2"/>
        <v>O / U Push</v>
      </c>
      <c r="AD3" s="1" t="str">
        <f t="shared" ref="AD3:AI3" si="3">W3</f>
        <v>Away Win</v>
      </c>
      <c r="AE3" s="1" t="str">
        <f t="shared" si="3"/>
        <v>Home Win</v>
      </c>
      <c r="AF3" s="1" t="str">
        <f t="shared" si="3"/>
        <v>Line Push</v>
      </c>
      <c r="AG3" s="1" t="str">
        <f t="shared" si="3"/>
        <v>Under Win</v>
      </c>
      <c r="AH3" s="1" t="str">
        <f t="shared" si="3"/>
        <v>Over Win</v>
      </c>
      <c r="AI3" s="1" t="str">
        <f t="shared" si="3"/>
        <v>O / U Push</v>
      </c>
    </row>
    <row r="4" spans="1:35" x14ac:dyDescent="0.2">
      <c r="B4" s="1">
        <v>2</v>
      </c>
      <c r="C4" s="1">
        <v>3</v>
      </c>
      <c r="D4" s="1">
        <v>4</v>
      </c>
      <c r="E4" s="1">
        <v>2</v>
      </c>
      <c r="F4" s="1">
        <v>3</v>
      </c>
      <c r="G4" s="1">
        <v>4</v>
      </c>
      <c r="I4" s="1" t="s">
        <v>13</v>
      </c>
      <c r="P4" s="1" t="s">
        <v>14</v>
      </c>
      <c r="W4" s="1" t="s">
        <v>15</v>
      </c>
      <c r="AD4" s="1" t="s">
        <v>16</v>
      </c>
    </row>
    <row r="5" spans="1:35" x14ac:dyDescent="0.2">
      <c r="B5" s="1" t="str">
        <f>VLOOKUP(Sheet1!$H7,line_desc!$A:$D,B$4,0)</f>
        <v>Away win, tie, or Home win by 3 or less</v>
      </c>
      <c r="C5" s="1" t="str">
        <f>VLOOKUP(Sheet1!$H7,line_desc!$A:$D,C$4,0)</f>
        <v>Home win by 4 or more</v>
      </c>
      <c r="D5" s="1" t="str">
        <f>VLOOKUP(Sheet1!$H7,line_desc!$A:$D,D$4,0)</f>
        <v>Michigan can win a game in regular time, not make-believe time…</v>
      </c>
      <c r="E5" s="1" t="str">
        <f>VLOOKUP(Sheet1!$I7,o_u_desc!$A:$D,E$4,0)</f>
        <v>Away + Home score is 44 or less</v>
      </c>
      <c r="F5" s="1" t="str">
        <f>VLOOKUP(Sheet1!$I7,o_u_desc!$A:$D,F$4,0)</f>
        <v>Away + Home score is 45 or more</v>
      </c>
      <c r="G5" s="1" t="str">
        <f>VLOOKUP(Sheet1!$I7,o_u_desc!$A:$D,G$4,0)</f>
        <v>Michigan can win a game in regular time, not make-believe time…</v>
      </c>
      <c r="I5" s="1" t="str">
        <f>REPLACE(B5,SEARCH("Away",B5),4,Sheet1!$E7)</f>
        <v>New England Patriots win, tie, or Home win by 3 or less</v>
      </c>
      <c r="J5" s="1" t="e">
        <f>REPLACE(C5,SEARCH("Away",C5),4,Sheet1!$E7)</f>
        <v>#VALUE!</v>
      </c>
      <c r="K5" s="1" t="e">
        <f>REPLACE(D5,SEARCH("Away",D5),4,Sheet1!$E7)</f>
        <v>#VALUE!</v>
      </c>
      <c r="L5" s="1" t="str">
        <f>REPLACE(E5,SEARCH("Away",E5),4,Sheet1!$E7)</f>
        <v>New England Patriots + Home score is 44 or less</v>
      </c>
      <c r="M5" s="1" t="str">
        <f>REPLACE(F5,SEARCH("Away",F5),4,Sheet1!$E7)</f>
        <v>New England Patriots + Home score is 45 or more</v>
      </c>
      <c r="N5" s="1" t="e">
        <f>REPLACE(G5,SEARCH("Away",G5),4,Sheet1!$E7)</f>
        <v>#VALUE!</v>
      </c>
      <c r="P5" s="1" t="str">
        <f>IF(ISERROR(I5),B5,I5)</f>
        <v>New England Patriots win, tie, or Home win by 3 or less</v>
      </c>
      <c r="Q5" s="1" t="str">
        <f t="shared" ref="Q5:Q20" si="4">IF(ISERROR(J5),C5,J5)</f>
        <v>Home win by 4 or more</v>
      </c>
      <c r="R5" s="1" t="str">
        <f t="shared" ref="R5:R20" si="5">IF(ISERROR(K5),D5,K5)</f>
        <v>Michigan can win a game in regular time, not make-believe time…</v>
      </c>
      <c r="S5" s="1" t="str">
        <f t="shared" ref="S5:S20" si="6">IF(ISERROR(L5),E5,L5)</f>
        <v>New England Patriots + Home score is 44 or less</v>
      </c>
      <c r="T5" s="1" t="str">
        <f t="shared" ref="T5:T20" si="7">IF(ISERROR(M5),F5,M5)</f>
        <v>New England Patriots + Home score is 45 or more</v>
      </c>
      <c r="U5" s="1" t="str">
        <f t="shared" ref="U5:U20" si="8">IF(ISERROR(N5),G5,N5)</f>
        <v>Michigan can win a game in regular time, not make-believe time…</v>
      </c>
      <c r="W5" s="1" t="str">
        <f>REPLACE(P5,SEARCH("Home",P5),4,Sheet1!$G7)</f>
        <v>New England Patriots win, tie, or Seattle Seahawks win by 3 or less</v>
      </c>
      <c r="X5" s="1" t="str">
        <f>REPLACE(Q5,SEARCH("Home",Q5),4,Sheet1!$G7)</f>
        <v>Seattle Seahawks win by 4 or more</v>
      </c>
      <c r="Y5" s="1" t="e">
        <f>REPLACE(R5,SEARCH("Home",R5),4,Sheet1!$G7)</f>
        <v>#VALUE!</v>
      </c>
      <c r="Z5" s="1" t="str">
        <f>REPLACE(S5,SEARCH("Home",S5),4,Sheet1!$G7)</f>
        <v>New England Patriots + Seattle Seahawks score is 44 or less</v>
      </c>
      <c r="AA5" s="1" t="str">
        <f>REPLACE(T5,SEARCH("Home",T5),4,Sheet1!$G7)</f>
        <v>New England Patriots + Seattle Seahawks score is 45 or more</v>
      </c>
      <c r="AB5" s="1" t="e">
        <f>REPLACE(U5,SEARCH("Home",U5),4,Sheet1!$G7)</f>
        <v>#VALUE!</v>
      </c>
      <c r="AD5" s="1" t="str">
        <f>IF(ISERROR(W5),P5,W5)</f>
        <v>New England Patriots win, tie, or Seattle Seahawks win by 3 or less</v>
      </c>
      <c r="AE5" s="1" t="str">
        <f t="shared" ref="AE5:AE20" si="9">IF(ISERROR(X5),Q5,X5)</f>
        <v>Seattle Seahawks win by 4 or more</v>
      </c>
      <c r="AF5" s="1" t="str">
        <f t="shared" ref="AF5:AF20" si="10">IF(ISERROR(Y5),R5,Y5)</f>
        <v>Michigan can win a game in regular time, not make-believe time…</v>
      </c>
      <c r="AG5" s="1" t="str">
        <f t="shared" ref="AG5:AG20" si="11">IF(ISERROR(Z5),S5,Z5)</f>
        <v>New England Patriots + Seattle Seahawks score is 44 or less</v>
      </c>
      <c r="AH5" s="1" t="str">
        <f t="shared" ref="AH5:AH20" si="12">IF(ISERROR(AA5),T5,AA5)</f>
        <v>New England Patriots + Seattle Seahawks score is 45 or more</v>
      </c>
      <c r="AI5" s="1" t="str">
        <f t="shared" ref="AI5:AI20" si="13">IF(ISERROR(AB5),U5,AB5)</f>
        <v>Michigan can win a game in regular time, not make-believe time…</v>
      </c>
    </row>
    <row r="6" spans="1:35" x14ac:dyDescent="0.2">
      <c r="B6" s="1" t="str">
        <f>VLOOKUP(Sheet1!$H8,line_desc!$A:$D,B$4,0)</f>
        <v>Away win, tie, or Home win by 3 or less</v>
      </c>
      <c r="C6" s="1" t="str">
        <f>VLOOKUP(Sheet1!$H8,line_desc!$A:$D,C$4,0)</f>
        <v>Home win by 4 or more</v>
      </c>
      <c r="D6" s="1" t="str">
        <f>VLOOKUP(Sheet1!$H8,line_desc!$A:$D,D$4,0)</f>
        <v>Michigan can win a game in regular time, not make-believe time…</v>
      </c>
      <c r="E6" s="1" t="str">
        <f>VLOOKUP(Sheet1!$I8,o_u_desc!$A:$D,E$4,0)</f>
        <v>Away + Home score is 48 or less</v>
      </c>
      <c r="F6" s="1" t="str">
        <f>VLOOKUP(Sheet1!$I8,o_u_desc!$A:$D,F$4,0)</f>
        <v>Away + Home score is 49 or more</v>
      </c>
      <c r="G6" s="1" t="str">
        <f>VLOOKUP(Sheet1!$I8,o_u_desc!$A:$D,G$4,0)</f>
        <v>Michigan can win a game in regular time, not make-believe time…</v>
      </c>
      <c r="I6" s="1" t="str">
        <f>REPLACE(B6,SEARCH("Away",B6),4,Sheet1!$E8)</f>
        <v>San Francisco 49ers win, tie, or Home win by 3 or less</v>
      </c>
      <c r="J6" s="1" t="e">
        <f>REPLACE(C6,SEARCH("Away",C6),4,Sheet1!$E8)</f>
        <v>#VALUE!</v>
      </c>
      <c r="K6" s="1" t="e">
        <f>REPLACE(D6,SEARCH("Away",D6),4,Sheet1!$E8)</f>
        <v>#VALUE!</v>
      </c>
      <c r="L6" s="1" t="str">
        <f>REPLACE(E6,SEARCH("Away",E6),4,Sheet1!$E8)</f>
        <v>San Francisco 49ers + Home score is 48 or less</v>
      </c>
      <c r="M6" s="1" t="str">
        <f>REPLACE(F6,SEARCH("Away",F6),4,Sheet1!$E8)</f>
        <v>San Francisco 49ers + Home score is 49 or more</v>
      </c>
      <c r="N6" s="1" t="e">
        <f>REPLACE(G6,SEARCH("Away",G6),4,Sheet1!$E8)</f>
        <v>#VALUE!</v>
      </c>
      <c r="P6" s="1" t="str">
        <f t="shared" ref="P6:P20" si="14">IF(ISERROR(I6),B6,I6)</f>
        <v>San Francisco 49ers win, tie, or Home win by 3 or less</v>
      </c>
      <c r="Q6" s="1" t="str">
        <f t="shared" si="4"/>
        <v>Home win by 4 or more</v>
      </c>
      <c r="R6" s="1" t="str">
        <f t="shared" si="5"/>
        <v>Michigan can win a game in regular time, not make-believe time…</v>
      </c>
      <c r="S6" s="1" t="str">
        <f t="shared" si="6"/>
        <v>San Francisco 49ers + Home score is 48 or less</v>
      </c>
      <c r="T6" s="1" t="str">
        <f t="shared" si="7"/>
        <v>San Francisco 49ers + Home score is 49 or more</v>
      </c>
      <c r="U6" s="1" t="str">
        <f t="shared" si="8"/>
        <v>Michigan can win a game in regular time, not make-believe time…</v>
      </c>
      <c r="W6" s="1" t="str">
        <f>REPLACE(P6,SEARCH("Home",P6),4,Sheet1!$G8)</f>
        <v>San Francisco 49ers win, tie, or Los Angeles Rams win by 3 or less</v>
      </c>
      <c r="X6" s="1" t="str">
        <f>REPLACE(Q6,SEARCH("Home",Q6),4,Sheet1!$G8)</f>
        <v>Los Angeles Rams win by 4 or more</v>
      </c>
      <c r="Y6" s="1" t="e">
        <f>REPLACE(R6,SEARCH("Home",R6),4,Sheet1!$G8)</f>
        <v>#VALUE!</v>
      </c>
      <c r="Z6" s="1" t="str">
        <f>REPLACE(S6,SEARCH("Home",S6),4,Sheet1!$G8)</f>
        <v>San Francisco 49ers + Los Angeles Rams score is 48 or less</v>
      </c>
      <c r="AA6" s="1" t="str">
        <f>REPLACE(T6,SEARCH("Home",T6),4,Sheet1!$G8)</f>
        <v>San Francisco 49ers + Los Angeles Rams score is 49 or more</v>
      </c>
      <c r="AB6" s="1" t="e">
        <f>REPLACE(U6,SEARCH("Home",U6),4,Sheet1!$G8)</f>
        <v>#VALUE!</v>
      </c>
      <c r="AD6" s="1" t="str">
        <f t="shared" ref="AD6:AD20" si="15">IF(ISERROR(W6),P6,W6)</f>
        <v>San Francisco 49ers win, tie, or Los Angeles Rams win by 3 or less</v>
      </c>
      <c r="AE6" s="1" t="str">
        <f t="shared" si="9"/>
        <v>Los Angeles Rams win by 4 or more</v>
      </c>
      <c r="AF6" s="1" t="str">
        <f t="shared" si="10"/>
        <v>Michigan can win a game in regular time, not make-believe time…</v>
      </c>
      <c r="AG6" s="1" t="str">
        <f t="shared" si="11"/>
        <v>San Francisco 49ers + Los Angeles Rams score is 48 or less</v>
      </c>
      <c r="AH6" s="1" t="str">
        <f t="shared" si="12"/>
        <v>San Francisco 49ers + Los Angeles Rams score is 49 or more</v>
      </c>
      <c r="AI6" s="1" t="str">
        <f t="shared" si="13"/>
        <v>Michigan can win a game in regular time, not make-believe time…</v>
      </c>
    </row>
    <row r="7" spans="1:35" x14ac:dyDescent="0.2">
      <c r="B7" s="1" t="str">
        <f>VLOOKUP(Sheet1!$H9,line_desc!$A:$D,B$4,0)</f>
        <v>Away win, tie, or Home win by 3 or less</v>
      </c>
      <c r="C7" s="1" t="str">
        <f>VLOOKUP(Sheet1!$H9,line_desc!$A:$D,C$4,0)</f>
        <v>Home win by 4 or more</v>
      </c>
      <c r="D7" s="1" t="str">
        <f>VLOOKUP(Sheet1!$H9,line_desc!$A:$D,D$4,0)</f>
        <v>Michigan can win a game in regular time, not make-believe time…</v>
      </c>
      <c r="E7" s="1" t="str">
        <f>VLOOKUP(Sheet1!$I9,o_u_desc!$A:$D,E$4,0)</f>
        <v>Away + Home score is 50 or less</v>
      </c>
      <c r="F7" s="1" t="str">
        <f>VLOOKUP(Sheet1!$I9,o_u_desc!$A:$D,F$4,0)</f>
        <v>Away + Home score is 51 or more</v>
      </c>
      <c r="G7" s="1" t="str">
        <f>VLOOKUP(Sheet1!$I9,o_u_desc!$A:$D,G$4,0)</f>
        <v>Michigan can win a game in regular time, not make-believe time…</v>
      </c>
      <c r="I7" s="1" t="str">
        <f>REPLACE(B7,SEARCH("Away",B7),4,Sheet1!$E9)</f>
        <v>Tampa Bay Buccaneers win, tie, or Home win by 3 or less</v>
      </c>
      <c r="J7" s="1" t="e">
        <f>REPLACE(C7,SEARCH("Away",C7),4,Sheet1!$E9)</f>
        <v>#VALUE!</v>
      </c>
      <c r="K7" s="1" t="e">
        <f>REPLACE(D7,SEARCH("Away",D7),4,Sheet1!$E9)</f>
        <v>#VALUE!</v>
      </c>
      <c r="L7" s="1" t="str">
        <f>REPLACE(E7,SEARCH("Away",E7),4,Sheet1!$E9)</f>
        <v>Tampa Bay Buccaneers + Home score is 50 or less</v>
      </c>
      <c r="M7" s="1" t="str">
        <f>REPLACE(F7,SEARCH("Away",F7),4,Sheet1!$E9)</f>
        <v>Tampa Bay Buccaneers + Home score is 51 or more</v>
      </c>
      <c r="N7" s="1" t="e">
        <f>REPLACE(G7,SEARCH("Away",G7),4,Sheet1!$E9)</f>
        <v>#VALUE!</v>
      </c>
      <c r="P7" s="1" t="str">
        <f t="shared" si="14"/>
        <v>Tampa Bay Buccaneers win, tie, or Home win by 3 or less</v>
      </c>
      <c r="Q7" s="1" t="str">
        <f t="shared" si="4"/>
        <v>Home win by 4 or more</v>
      </c>
      <c r="R7" s="1" t="str">
        <f t="shared" si="5"/>
        <v>Michigan can win a game in regular time, not make-believe time…</v>
      </c>
      <c r="S7" s="1" t="str">
        <f t="shared" si="6"/>
        <v>Tampa Bay Buccaneers + Home score is 50 or less</v>
      </c>
      <c r="T7" s="1" t="str">
        <f t="shared" si="7"/>
        <v>Tampa Bay Buccaneers + Home score is 51 or more</v>
      </c>
      <c r="U7" s="1" t="str">
        <f t="shared" si="8"/>
        <v>Michigan can win a game in regular time, not make-believe time…</v>
      </c>
      <c r="W7" s="1" t="str">
        <f>REPLACE(P7,SEARCH("Home",P7),4,Sheet1!$G9)</f>
        <v>Tampa Bay Buccaneers win, tie, or Cincinnati Bengals win by 3 or less</v>
      </c>
      <c r="X7" s="1" t="str">
        <f>REPLACE(Q7,SEARCH("Home",Q7),4,Sheet1!$G9)</f>
        <v>Cincinnati Bengals win by 4 or more</v>
      </c>
      <c r="Y7" s="1" t="e">
        <f>REPLACE(R7,SEARCH("Home",R7),4,Sheet1!$G9)</f>
        <v>#VALUE!</v>
      </c>
      <c r="Z7" s="1" t="str">
        <f>REPLACE(S7,SEARCH("Home",S7),4,Sheet1!$G9)</f>
        <v>Tampa Bay Buccaneers + Cincinnati Bengals score is 50 or less</v>
      </c>
      <c r="AA7" s="1" t="str">
        <f>REPLACE(T7,SEARCH("Home",T7),4,Sheet1!$G9)</f>
        <v>Tampa Bay Buccaneers + Cincinnati Bengals score is 51 or more</v>
      </c>
      <c r="AB7" s="1" t="e">
        <f>REPLACE(U7,SEARCH("Home",U7),4,Sheet1!$G9)</f>
        <v>#VALUE!</v>
      </c>
      <c r="AD7" s="1" t="str">
        <f t="shared" si="15"/>
        <v>Tampa Bay Buccaneers win, tie, or Cincinnati Bengals win by 3 or less</v>
      </c>
      <c r="AE7" s="1" t="str">
        <f t="shared" si="9"/>
        <v>Cincinnati Bengals win by 4 or more</v>
      </c>
      <c r="AF7" s="1" t="str">
        <f t="shared" si="10"/>
        <v>Michigan can win a game in regular time, not make-believe time…</v>
      </c>
      <c r="AG7" s="1" t="str">
        <f t="shared" si="11"/>
        <v>Tampa Bay Buccaneers + Cincinnati Bengals score is 50 or less</v>
      </c>
      <c r="AH7" s="1" t="str">
        <f t="shared" si="12"/>
        <v>Tampa Bay Buccaneers + Cincinnati Bengals score is 51 or more</v>
      </c>
      <c r="AI7" s="1" t="str">
        <f t="shared" si="13"/>
        <v>Michigan can win a game in regular time, not make-believe time…</v>
      </c>
    </row>
    <row r="8" spans="1:35" x14ac:dyDescent="0.2">
      <c r="B8" s="1" t="str">
        <f>VLOOKUP(Sheet1!$H10,line_desc!$A:$D,B$4,0)</f>
        <v>Away win, tie, or Home win by 6 or less</v>
      </c>
      <c r="C8" s="1" t="str">
        <f>VLOOKUP(Sheet1!$H10,line_desc!$A:$D,C$4,0)</f>
        <v>Home win by 8 or more</v>
      </c>
      <c r="D8" s="1" t="str">
        <f>VLOOKUP(Sheet1!$H10,line_desc!$A:$D,D$4,0)</f>
        <v>Home win by 7</v>
      </c>
      <c r="E8" s="1" t="str">
        <f>VLOOKUP(Sheet1!$I10,o_u_desc!$A:$D,E$4,0)</f>
        <v>Away + Home score is 49 or less</v>
      </c>
      <c r="F8" s="1" t="str">
        <f>VLOOKUP(Sheet1!$I10,o_u_desc!$A:$D,F$4,0)</f>
        <v>Away + Home score is 50 or more</v>
      </c>
      <c r="G8" s="1" t="str">
        <f>VLOOKUP(Sheet1!$I10,o_u_desc!$A:$D,G$4,0)</f>
        <v>Michigan can win a game in regular time, not make-believe time…</v>
      </c>
      <c r="I8" s="1" t="str">
        <f>REPLACE(B8,SEARCH("Away",B8),4,Sheet1!$E10)</f>
        <v>New Orleans Saints win, tie, or Home win by 6 or less</v>
      </c>
      <c r="J8" s="1" t="e">
        <f>REPLACE(C8,SEARCH("Away",C8),4,Sheet1!$E10)</f>
        <v>#VALUE!</v>
      </c>
      <c r="K8" s="1" t="e">
        <f>REPLACE(D8,SEARCH("Away",D8),4,Sheet1!$E10)</f>
        <v>#VALUE!</v>
      </c>
      <c r="L8" s="1" t="str">
        <f>REPLACE(E8,SEARCH("Away",E8),4,Sheet1!$E10)</f>
        <v>New Orleans Saints + Home score is 49 or less</v>
      </c>
      <c r="M8" s="1" t="str">
        <f>REPLACE(F8,SEARCH("Away",F8),4,Sheet1!$E10)</f>
        <v>New Orleans Saints + Home score is 50 or more</v>
      </c>
      <c r="N8" s="1" t="e">
        <f>REPLACE(G8,SEARCH("Away",G8),4,Sheet1!$E10)</f>
        <v>#VALUE!</v>
      </c>
      <c r="P8" s="1" t="str">
        <f t="shared" si="14"/>
        <v>New Orleans Saints win, tie, or Home win by 6 or less</v>
      </c>
      <c r="Q8" s="1" t="str">
        <f t="shared" si="4"/>
        <v>Home win by 8 or more</v>
      </c>
      <c r="R8" s="1" t="str">
        <f t="shared" si="5"/>
        <v>Home win by 7</v>
      </c>
      <c r="S8" s="1" t="str">
        <f t="shared" si="6"/>
        <v>New Orleans Saints + Home score is 49 or less</v>
      </c>
      <c r="T8" s="1" t="str">
        <f t="shared" si="7"/>
        <v>New Orleans Saints + Home score is 50 or more</v>
      </c>
      <c r="U8" s="1" t="str">
        <f t="shared" si="8"/>
        <v>Michigan can win a game in regular time, not make-believe time…</v>
      </c>
      <c r="W8" s="1" t="str">
        <f>REPLACE(P8,SEARCH("Home",P8),4,Sheet1!$G10)</f>
        <v>New Orleans Saints win, tie, or Detroit Lions win by 6 or less</v>
      </c>
      <c r="X8" s="1" t="str">
        <f>REPLACE(Q8,SEARCH("Home",Q8),4,Sheet1!$G10)</f>
        <v>Detroit Lions win by 8 or more</v>
      </c>
      <c r="Y8" s="1" t="str">
        <f>REPLACE(R8,SEARCH("Home",R8),4,Sheet1!$G10)</f>
        <v>Detroit Lions win by 7</v>
      </c>
      <c r="Z8" s="1" t="str">
        <f>REPLACE(S8,SEARCH("Home",S8),4,Sheet1!$G10)</f>
        <v>New Orleans Saints + Detroit Lions score is 49 or less</v>
      </c>
      <c r="AA8" s="1" t="str">
        <f>REPLACE(T8,SEARCH("Home",T8),4,Sheet1!$G10)</f>
        <v>New Orleans Saints + Detroit Lions score is 50 or more</v>
      </c>
      <c r="AB8" s="1" t="e">
        <f>REPLACE(U8,SEARCH("Home",U8),4,Sheet1!$G10)</f>
        <v>#VALUE!</v>
      </c>
      <c r="AD8" s="1" t="str">
        <f t="shared" si="15"/>
        <v>New Orleans Saints win, tie, or Detroit Lions win by 6 or less</v>
      </c>
      <c r="AE8" s="1" t="str">
        <f t="shared" si="9"/>
        <v>Detroit Lions win by 8 or more</v>
      </c>
      <c r="AF8" s="1" t="str">
        <f t="shared" si="10"/>
        <v>Detroit Lions win by 7</v>
      </c>
      <c r="AG8" s="1" t="str">
        <f t="shared" si="11"/>
        <v>New Orleans Saints + Detroit Lions score is 49 or less</v>
      </c>
      <c r="AH8" s="1" t="str">
        <f t="shared" si="12"/>
        <v>New Orleans Saints + Detroit Lions score is 50 or more</v>
      </c>
      <c r="AI8" s="1" t="str">
        <f t="shared" si="13"/>
        <v>Michigan can win a game in regular time, not make-believe time…</v>
      </c>
    </row>
    <row r="9" spans="1:35" x14ac:dyDescent="0.2">
      <c r="B9" s="1" t="str">
        <f>VLOOKUP(Sheet1!$H11,line_desc!$A:$D,B$4,0)</f>
        <v>Away win, tie, or Home win by 1</v>
      </c>
      <c r="C9" s="1" t="str">
        <f>VLOOKUP(Sheet1!$H11,line_desc!$A:$D,C$4,0)</f>
        <v>Home win by 2 or more</v>
      </c>
      <c r="D9" s="1" t="str">
        <f>VLOOKUP(Sheet1!$H11,line_desc!$A:$D,D$4,0)</f>
        <v>Michigan can win a game in regular time, not make-believe time…</v>
      </c>
      <c r="E9" s="1" t="str">
        <f>VLOOKUP(Sheet1!$I11,o_u_desc!$A:$D,E$4,0)</f>
        <v>Away + Home score is 39 or less</v>
      </c>
      <c r="F9" s="1" t="str">
        <f>VLOOKUP(Sheet1!$I11,o_u_desc!$A:$D,F$4,0)</f>
        <v>Away + Home score is 40 or more</v>
      </c>
      <c r="G9" s="1" t="str">
        <f>VLOOKUP(Sheet1!$I11,o_u_desc!$A:$D,G$4,0)</f>
        <v>Michigan can win a game in regular time, not make-believe time…</v>
      </c>
      <c r="I9" s="1" t="str">
        <f>REPLACE(B9,SEARCH("Away",B9),4,Sheet1!$E11)</f>
        <v>New York Jets win, tie, or Home win by 1</v>
      </c>
      <c r="J9" s="1" t="e">
        <f>REPLACE(C9,SEARCH("Away",C9),4,Sheet1!$E11)</f>
        <v>#VALUE!</v>
      </c>
      <c r="K9" s="1" t="e">
        <f>REPLACE(D9,SEARCH("Away",D9),4,Sheet1!$E11)</f>
        <v>#VALUE!</v>
      </c>
      <c r="L9" s="1" t="str">
        <f>REPLACE(E9,SEARCH("Away",E9),4,Sheet1!$E11)</f>
        <v>New York Jets + Home score is 39 or less</v>
      </c>
      <c r="M9" s="1" t="str">
        <f>REPLACE(F9,SEARCH("Away",F9),4,Sheet1!$E11)</f>
        <v>New York Jets + Home score is 40 or more</v>
      </c>
      <c r="N9" s="1" t="e">
        <f>REPLACE(G9,SEARCH("Away",G9),4,Sheet1!$E11)</f>
        <v>#VALUE!</v>
      </c>
      <c r="P9" s="1" t="str">
        <f t="shared" si="14"/>
        <v>New York Jets win, tie, or Home win by 1</v>
      </c>
      <c r="Q9" s="1" t="str">
        <f t="shared" si="4"/>
        <v>Home win by 2 or more</v>
      </c>
      <c r="R9" s="1" t="str">
        <f t="shared" si="5"/>
        <v>Michigan can win a game in regular time, not make-believe time…</v>
      </c>
      <c r="S9" s="1" t="str">
        <f t="shared" si="6"/>
        <v>New York Jets + Home score is 39 or less</v>
      </c>
      <c r="T9" s="1" t="str">
        <f t="shared" si="7"/>
        <v>New York Jets + Home score is 40 or more</v>
      </c>
      <c r="U9" s="1" t="str">
        <f t="shared" si="8"/>
        <v>Michigan can win a game in regular time, not make-believe time…</v>
      </c>
      <c r="W9" s="1" t="str">
        <f>REPLACE(P9,SEARCH("Home",P9),4,Sheet1!$G11)</f>
        <v>New York Jets win, tie, or Tennessee Titans win by 1</v>
      </c>
      <c r="X9" s="1" t="str">
        <f>REPLACE(Q9,SEARCH("Home",Q9),4,Sheet1!$G11)</f>
        <v>Tennessee Titans win by 2 or more</v>
      </c>
      <c r="Y9" s="1" t="e">
        <f>REPLACE(R9,SEARCH("Home",R9),4,Sheet1!$G11)</f>
        <v>#VALUE!</v>
      </c>
      <c r="Z9" s="1" t="str">
        <f>REPLACE(S9,SEARCH("Home",S9),4,Sheet1!$G11)</f>
        <v>New York Jets + Tennessee Titans score is 39 or less</v>
      </c>
      <c r="AA9" s="1" t="str">
        <f>REPLACE(T9,SEARCH("Home",T9),4,Sheet1!$G11)</f>
        <v>New York Jets + Tennessee Titans score is 40 or more</v>
      </c>
      <c r="AB9" s="1" t="e">
        <f>REPLACE(U9,SEARCH("Home",U9),4,Sheet1!$G11)</f>
        <v>#VALUE!</v>
      </c>
      <c r="AD9" s="1" t="str">
        <f t="shared" si="15"/>
        <v>New York Jets win, tie, or Tennessee Titans win by 1</v>
      </c>
      <c r="AE9" s="1" t="str">
        <f t="shared" si="9"/>
        <v>Tennessee Titans win by 2 or more</v>
      </c>
      <c r="AF9" s="1" t="str">
        <f t="shared" si="10"/>
        <v>Michigan can win a game in regular time, not make-believe time…</v>
      </c>
      <c r="AG9" s="1" t="str">
        <f t="shared" si="11"/>
        <v>New York Jets + Tennessee Titans score is 39 or less</v>
      </c>
      <c r="AH9" s="1" t="str">
        <f t="shared" si="12"/>
        <v>New York Jets + Tennessee Titans score is 40 or more</v>
      </c>
      <c r="AI9" s="1" t="str">
        <f t="shared" si="13"/>
        <v>Michigan can win a game in regular time, not make-believe time…</v>
      </c>
    </row>
    <row r="10" spans="1:35" x14ac:dyDescent="0.2">
      <c r="B10" s="1" t="str">
        <f>VLOOKUP(Sheet1!$H12,line_desc!$A:$D,B$4,0)</f>
        <v>Away win by 4 or more</v>
      </c>
      <c r="C10" s="1" t="str">
        <f>VLOOKUP(Sheet1!$H12,line_desc!$A:$D,C$4,0)</f>
        <v>Home win, tie, or Away win by 2 or less</v>
      </c>
      <c r="D10" s="1" t="str">
        <f>VLOOKUP(Sheet1!$H12,line_desc!$A:$D,D$4,0)</f>
        <v>Away win by 3</v>
      </c>
      <c r="E10" s="1" t="str">
        <f>VLOOKUP(Sheet1!$I12,o_u_desc!$A:$D,E$4,0)</f>
        <v>Away + Home score is 47 or less</v>
      </c>
      <c r="F10" s="1" t="str">
        <f>VLOOKUP(Sheet1!$I12,o_u_desc!$A:$D,F$4,0)</f>
        <v>Away + Home score is 48 or more</v>
      </c>
      <c r="G10" s="1" t="str">
        <f>VLOOKUP(Sheet1!$I12,o_u_desc!$A:$D,G$4,0)</f>
        <v>Michigan can win a game in regular time, not make-believe time…</v>
      </c>
      <c r="I10" s="1" t="str">
        <f>REPLACE(B10,SEARCH("Away",B10),4,Sheet1!$E12)</f>
        <v>Baltimore Ravens win by 4 or more</v>
      </c>
      <c r="J10" s="1" t="str">
        <f>REPLACE(C10,SEARCH("Away",C10),4,Sheet1!$E12)</f>
        <v>Home win, tie, or Baltimore Ravens win by 2 or less</v>
      </c>
      <c r="K10" s="1" t="str">
        <f>REPLACE(D10,SEARCH("Away",D10),4,Sheet1!$E12)</f>
        <v>Baltimore Ravens win by 3</v>
      </c>
      <c r="L10" s="1" t="str">
        <f>REPLACE(E10,SEARCH("Away",E10),4,Sheet1!$E12)</f>
        <v>Baltimore Ravens + Home score is 47 or less</v>
      </c>
      <c r="M10" s="1" t="str">
        <f>REPLACE(F10,SEARCH("Away",F10),4,Sheet1!$E12)</f>
        <v>Baltimore Ravens + Home score is 48 or more</v>
      </c>
      <c r="N10" s="1" t="e">
        <f>REPLACE(G10,SEARCH("Away",G10),4,Sheet1!$E12)</f>
        <v>#VALUE!</v>
      </c>
      <c r="P10" s="1" t="str">
        <f t="shared" si="14"/>
        <v>Baltimore Ravens win by 4 or more</v>
      </c>
      <c r="Q10" s="1" t="str">
        <f t="shared" si="4"/>
        <v>Home win, tie, or Baltimore Ravens win by 2 or less</v>
      </c>
      <c r="R10" s="1" t="str">
        <f t="shared" si="5"/>
        <v>Baltimore Ravens win by 3</v>
      </c>
      <c r="S10" s="1" t="str">
        <f t="shared" si="6"/>
        <v>Baltimore Ravens + Home score is 47 or less</v>
      </c>
      <c r="T10" s="1" t="str">
        <f t="shared" si="7"/>
        <v>Baltimore Ravens + Home score is 48 or more</v>
      </c>
      <c r="U10" s="1" t="str">
        <f t="shared" si="8"/>
        <v>Michigan can win a game in regular time, not make-believe time…</v>
      </c>
      <c r="W10" s="1" t="e">
        <f>REPLACE(P10,SEARCH("Home",P10),4,Sheet1!$G12)</f>
        <v>#VALUE!</v>
      </c>
      <c r="X10" s="1" t="str">
        <f>REPLACE(Q10,SEARCH("Home",Q10),4,Sheet1!$G12)</f>
        <v>Indianapolis Colts win, tie, or Baltimore Ravens win by 2 or less</v>
      </c>
      <c r="Y10" s="1" t="e">
        <f>REPLACE(R10,SEARCH("Home",R10),4,Sheet1!$G12)</f>
        <v>#VALUE!</v>
      </c>
      <c r="Z10" s="1" t="str">
        <f>REPLACE(S10,SEARCH("Home",S10),4,Sheet1!$G12)</f>
        <v>Baltimore Ravens + Indianapolis Colts score is 47 or less</v>
      </c>
      <c r="AA10" s="1" t="str">
        <f>REPLACE(T10,SEARCH("Home",T10),4,Sheet1!$G12)</f>
        <v>Baltimore Ravens + Indianapolis Colts score is 48 or more</v>
      </c>
      <c r="AB10" s="1" t="e">
        <f>REPLACE(U10,SEARCH("Home",U10),4,Sheet1!$G12)</f>
        <v>#VALUE!</v>
      </c>
      <c r="AD10" s="1" t="str">
        <f t="shared" si="15"/>
        <v>Baltimore Ravens win by 4 or more</v>
      </c>
      <c r="AE10" s="1" t="str">
        <f t="shared" si="9"/>
        <v>Indianapolis Colts win, tie, or Baltimore Ravens win by 2 or less</v>
      </c>
      <c r="AF10" s="1" t="str">
        <f t="shared" si="10"/>
        <v>Baltimore Ravens win by 3</v>
      </c>
      <c r="AG10" s="1" t="str">
        <f t="shared" si="11"/>
        <v>Baltimore Ravens + Indianapolis Colts score is 47 or less</v>
      </c>
      <c r="AH10" s="1" t="str">
        <f t="shared" si="12"/>
        <v>Baltimore Ravens + Indianapolis Colts score is 48 or more</v>
      </c>
      <c r="AI10" s="1" t="str">
        <f t="shared" si="13"/>
        <v>Michigan can win a game in regular time, not make-believe time…</v>
      </c>
    </row>
    <row r="11" spans="1:35" x14ac:dyDescent="0.2">
      <c r="B11" s="1" t="str">
        <f>VLOOKUP(Sheet1!$H13,line_desc!$A:$D,B$4,0)</f>
        <v>Away win, tie, or Home win by 3 or less</v>
      </c>
      <c r="C11" s="1" t="str">
        <f>VLOOKUP(Sheet1!$H13,line_desc!$A:$D,C$4,0)</f>
        <v>Home win by 4 or more</v>
      </c>
      <c r="D11" s="1" t="str">
        <f>VLOOKUP(Sheet1!$H13,line_desc!$A:$D,D$4,0)</f>
        <v>Michigan can win a game in regular time, not make-believe time…</v>
      </c>
      <c r="E11" s="1" t="str">
        <f>VLOOKUP(Sheet1!$I13,o_u_desc!$A:$D,E$4,0)</f>
        <v>Away + Home score is 42 or less</v>
      </c>
      <c r="F11" s="1" t="str">
        <f>VLOOKUP(Sheet1!$I13,o_u_desc!$A:$D,F$4,0)</f>
        <v>Away + Home score is 43 or more</v>
      </c>
      <c r="G11" s="1" t="str">
        <f>VLOOKUP(Sheet1!$I13,o_u_desc!$A:$D,G$4,0)</f>
        <v>Michigan can win a game in regular time, not make-believe time…</v>
      </c>
      <c r="I11" s="1" t="str">
        <f>REPLACE(B11,SEARCH("Away",B11),4,Sheet1!$E13)</f>
        <v>Atlanta Falcons win, tie, or Home win by 3 or less</v>
      </c>
      <c r="J11" s="1" t="e">
        <f>REPLACE(C11,SEARCH("Away",C11),4,Sheet1!$E13)</f>
        <v>#VALUE!</v>
      </c>
      <c r="K11" s="1" t="e">
        <f>REPLACE(D11,SEARCH("Away",D11),4,Sheet1!$E13)</f>
        <v>#VALUE!</v>
      </c>
      <c r="L11" s="1" t="str">
        <f>REPLACE(E11,SEARCH("Away",E11),4,Sheet1!$E13)</f>
        <v>Atlanta Falcons + Home score is 42 or less</v>
      </c>
      <c r="M11" s="1" t="str">
        <f>REPLACE(F11,SEARCH("Away",F11),4,Sheet1!$E13)</f>
        <v>Atlanta Falcons + Home score is 43 or more</v>
      </c>
      <c r="N11" s="1" t="e">
        <f>REPLACE(G11,SEARCH("Away",G11),4,Sheet1!$E13)</f>
        <v>#VALUE!</v>
      </c>
      <c r="P11" s="1" t="str">
        <f t="shared" si="14"/>
        <v>Atlanta Falcons win, tie, or Home win by 3 or less</v>
      </c>
      <c r="Q11" s="1" t="str">
        <f t="shared" si="4"/>
        <v>Home win by 4 or more</v>
      </c>
      <c r="R11" s="1" t="str">
        <f t="shared" si="5"/>
        <v>Michigan can win a game in regular time, not make-believe time…</v>
      </c>
      <c r="S11" s="1" t="str">
        <f t="shared" si="6"/>
        <v>Atlanta Falcons + Home score is 42 or less</v>
      </c>
      <c r="T11" s="1" t="str">
        <f t="shared" si="7"/>
        <v>Atlanta Falcons + Home score is 43 or more</v>
      </c>
      <c r="U11" s="1" t="str">
        <f t="shared" si="8"/>
        <v>Michigan can win a game in regular time, not make-believe time…</v>
      </c>
      <c r="W11" s="1" t="str">
        <f>REPLACE(P11,SEARCH("Home",P11),4,Sheet1!$G13)</f>
        <v>Atlanta Falcons win, tie, or Pittsburgh Steelers win by 3 or less</v>
      </c>
      <c r="X11" s="1" t="str">
        <f>REPLACE(Q11,SEARCH("Home",Q11),4,Sheet1!$G13)</f>
        <v>Pittsburgh Steelers win by 4 or more</v>
      </c>
      <c r="Y11" s="1" t="e">
        <f>REPLACE(R11,SEARCH("Home",R11),4,Sheet1!$G13)</f>
        <v>#VALUE!</v>
      </c>
      <c r="Z11" s="1" t="str">
        <f>REPLACE(S11,SEARCH("Home",S11),4,Sheet1!$G13)</f>
        <v>Atlanta Falcons + Pittsburgh Steelers score is 42 or less</v>
      </c>
      <c r="AA11" s="1" t="str">
        <f>REPLACE(T11,SEARCH("Home",T11),4,Sheet1!$G13)</f>
        <v>Atlanta Falcons + Pittsburgh Steelers score is 43 or more</v>
      </c>
      <c r="AB11" s="1" t="e">
        <f>REPLACE(U11,SEARCH("Home",U11),4,Sheet1!$G13)</f>
        <v>#VALUE!</v>
      </c>
      <c r="AD11" s="1" t="str">
        <f t="shared" si="15"/>
        <v>Atlanta Falcons win, tie, or Pittsburgh Steelers win by 3 or less</v>
      </c>
      <c r="AE11" s="1" t="str">
        <f t="shared" si="9"/>
        <v>Pittsburgh Steelers win by 4 or more</v>
      </c>
      <c r="AF11" s="1" t="str">
        <f t="shared" si="10"/>
        <v>Michigan can win a game in regular time, not make-believe time…</v>
      </c>
      <c r="AG11" s="1" t="str">
        <f t="shared" si="11"/>
        <v>Atlanta Falcons + Pittsburgh Steelers score is 42 or less</v>
      </c>
      <c r="AH11" s="1" t="str">
        <f t="shared" si="12"/>
        <v>Atlanta Falcons + Pittsburgh Steelers score is 43 or more</v>
      </c>
      <c r="AI11" s="1" t="str">
        <f t="shared" si="13"/>
        <v>Michigan can win a game in regular time, not make-believe time…</v>
      </c>
    </row>
    <row r="12" spans="1:35" x14ac:dyDescent="0.2">
      <c r="B12" s="1" t="str">
        <f>VLOOKUP(Sheet1!$H14,line_desc!$A:$D,B$4,0)</f>
        <v>Away win by 4 or more</v>
      </c>
      <c r="C12" s="1" t="str">
        <f>VLOOKUP(Sheet1!$H14,line_desc!$A:$D,C$4,0)</f>
        <v>Home win, tie, or Away win by 2 or less</v>
      </c>
      <c r="D12" s="1" t="str">
        <f>VLOOKUP(Sheet1!$H14,line_desc!$A:$D,D$4,0)</f>
        <v>Away win by 3</v>
      </c>
      <c r="E12" s="1" t="str">
        <f>VLOOKUP(Sheet1!$I14,o_u_desc!$A:$D,E$4,0)</f>
        <v>Away + Home score is 46 or less</v>
      </c>
      <c r="F12" s="1" t="str">
        <f>VLOOKUP(Sheet1!$I14,o_u_desc!$A:$D,F$4,0)</f>
        <v>Away + Home score is 47 or more</v>
      </c>
      <c r="G12" s="1" t="str">
        <f>VLOOKUP(Sheet1!$I14,o_u_desc!$A:$D,G$4,0)</f>
        <v>Michigan can win a game in regular time, not make-believe time…</v>
      </c>
      <c r="I12" s="1" t="str">
        <f>REPLACE(B12,SEARCH("Away",B12),4,Sheet1!$E14)</f>
        <v>Chicago Bears win by 4 or more</v>
      </c>
      <c r="J12" s="1" t="str">
        <f>REPLACE(C12,SEARCH("Away",C12),4,Sheet1!$E14)</f>
        <v>Home win, tie, or Chicago Bears win by 2 or less</v>
      </c>
      <c r="K12" s="1" t="str">
        <f>REPLACE(D12,SEARCH("Away",D12),4,Sheet1!$E14)</f>
        <v>Chicago Bears win by 3</v>
      </c>
      <c r="L12" s="1" t="str">
        <f>REPLACE(E12,SEARCH("Away",E12),4,Sheet1!$E14)</f>
        <v>Chicago Bears + Home score is 46 or less</v>
      </c>
      <c r="M12" s="1" t="str">
        <f>REPLACE(F12,SEARCH("Away",F12),4,Sheet1!$E14)</f>
        <v>Chicago Bears + Home score is 47 or more</v>
      </c>
      <c r="N12" s="1" t="e">
        <f>REPLACE(G12,SEARCH("Away",G12),4,Sheet1!$E14)</f>
        <v>#VALUE!</v>
      </c>
      <c r="P12" s="1" t="str">
        <f t="shared" si="14"/>
        <v>Chicago Bears win by 4 or more</v>
      </c>
      <c r="Q12" s="1" t="str">
        <f t="shared" si="4"/>
        <v>Home win, tie, or Chicago Bears win by 2 or less</v>
      </c>
      <c r="R12" s="1" t="str">
        <f t="shared" si="5"/>
        <v>Chicago Bears win by 3</v>
      </c>
      <c r="S12" s="1" t="str">
        <f t="shared" si="6"/>
        <v>Chicago Bears + Home score is 46 or less</v>
      </c>
      <c r="T12" s="1" t="str">
        <f t="shared" si="7"/>
        <v>Chicago Bears + Home score is 47 or more</v>
      </c>
      <c r="U12" s="1" t="str">
        <f t="shared" si="8"/>
        <v>Michigan can win a game in regular time, not make-believe time…</v>
      </c>
      <c r="W12" s="1" t="e">
        <f>REPLACE(P12,SEARCH("Home",P12),4,Sheet1!$G14)</f>
        <v>#VALUE!</v>
      </c>
      <c r="X12" s="1" t="str">
        <f>REPLACE(Q12,SEARCH("Home",Q12),4,Sheet1!$G14)</f>
        <v>Carolina Panthers win, tie, or Chicago Bears win by 2 or less</v>
      </c>
      <c r="Y12" s="1" t="e">
        <f>REPLACE(R12,SEARCH("Home",R12),4,Sheet1!$G14)</f>
        <v>#VALUE!</v>
      </c>
      <c r="Z12" s="1" t="str">
        <f>REPLACE(S12,SEARCH("Home",S12),4,Sheet1!$G14)</f>
        <v>Chicago Bears + Carolina Panthers score is 46 or less</v>
      </c>
      <c r="AA12" s="1" t="str">
        <f>REPLACE(T12,SEARCH("Home",T12),4,Sheet1!$G14)</f>
        <v>Chicago Bears + Carolina Panthers score is 47 or more</v>
      </c>
      <c r="AB12" s="1" t="e">
        <f>REPLACE(U12,SEARCH("Home",U12),4,Sheet1!$G14)</f>
        <v>#VALUE!</v>
      </c>
      <c r="AD12" s="1" t="str">
        <f t="shared" si="15"/>
        <v>Chicago Bears win by 4 or more</v>
      </c>
      <c r="AE12" s="1" t="str">
        <f t="shared" si="9"/>
        <v>Carolina Panthers win, tie, or Chicago Bears win by 2 or less</v>
      </c>
      <c r="AF12" s="1" t="str">
        <f t="shared" si="10"/>
        <v>Chicago Bears win by 3</v>
      </c>
      <c r="AG12" s="1" t="str">
        <f t="shared" si="11"/>
        <v>Chicago Bears + Carolina Panthers score is 46 or less</v>
      </c>
      <c r="AH12" s="1" t="str">
        <f t="shared" si="12"/>
        <v>Chicago Bears + Carolina Panthers score is 47 or more</v>
      </c>
      <c r="AI12" s="1" t="str">
        <f t="shared" si="13"/>
        <v>Michigan can win a game in regular time, not make-believe time…</v>
      </c>
    </row>
    <row r="13" spans="1:35" x14ac:dyDescent="0.2">
      <c r="B13" s="1" t="str">
        <f>VLOOKUP(Sheet1!$H15,line_desc!$A:$D,B$4,0)</f>
        <v>Away win, tie, or Home win by 7 or less</v>
      </c>
      <c r="C13" s="1" t="str">
        <f>VLOOKUP(Sheet1!$H15,line_desc!$A:$D,C$4,0)</f>
        <v>Home win by 8 or more</v>
      </c>
      <c r="D13" s="1" t="str">
        <f>VLOOKUP(Sheet1!$H15,line_desc!$A:$D,D$4,0)</f>
        <v>Michigan can win a game in regular time, not make-believe time…</v>
      </c>
      <c r="E13" s="1" t="str">
        <f>VLOOKUP(Sheet1!$I15,o_u_desc!$A:$D,E$4,0)</f>
        <v>Away + Home score is 40 or less</v>
      </c>
      <c r="F13" s="1" t="str">
        <f>VLOOKUP(Sheet1!$I15,o_u_desc!$A:$D,F$4,0)</f>
        <v>Away + Home score is 41 or more</v>
      </c>
      <c r="G13" s="1" t="str">
        <f>VLOOKUP(Sheet1!$I15,o_u_desc!$A:$D,G$4,0)</f>
        <v>Michigan can win a game in regular time, not make-believe time…</v>
      </c>
      <c r="I13" s="1" t="str">
        <f>REPLACE(B13,SEARCH("Away",B13),4,Sheet1!$E15)</f>
        <v>Cleveland Browns win, tie, or Home win by 7 or less</v>
      </c>
      <c r="J13" s="1" t="e">
        <f>REPLACE(C13,SEARCH("Away",C13),4,Sheet1!$E15)</f>
        <v>#VALUE!</v>
      </c>
      <c r="K13" s="1" t="e">
        <f>REPLACE(D13,SEARCH("Away",D13),4,Sheet1!$E15)</f>
        <v>#VALUE!</v>
      </c>
      <c r="L13" s="1" t="str">
        <f>REPLACE(E13,SEARCH("Away",E13),4,Sheet1!$E15)</f>
        <v>Cleveland Browns + Home score is 40 or less</v>
      </c>
      <c r="M13" s="1" t="str">
        <f>REPLACE(F13,SEARCH("Away",F13),4,Sheet1!$E15)</f>
        <v>Cleveland Browns + Home score is 41 or more</v>
      </c>
      <c r="N13" s="1" t="e">
        <f>REPLACE(G13,SEARCH("Away",G13),4,Sheet1!$E15)</f>
        <v>#VALUE!</v>
      </c>
      <c r="P13" s="1" t="str">
        <f t="shared" si="14"/>
        <v>Cleveland Browns win, tie, or Home win by 7 or less</v>
      </c>
      <c r="Q13" s="1" t="str">
        <f t="shared" si="4"/>
        <v>Home win by 8 or more</v>
      </c>
      <c r="R13" s="1" t="str">
        <f t="shared" si="5"/>
        <v>Michigan can win a game in regular time, not make-believe time…</v>
      </c>
      <c r="S13" s="1" t="str">
        <f t="shared" si="6"/>
        <v>Cleveland Browns + Home score is 40 or less</v>
      </c>
      <c r="T13" s="1" t="str">
        <f t="shared" si="7"/>
        <v>Cleveland Browns + Home score is 41 or more</v>
      </c>
      <c r="U13" s="1" t="str">
        <f t="shared" si="8"/>
        <v>Michigan can win a game in regular time, not make-believe time…</v>
      </c>
      <c r="W13" s="1" t="str">
        <f>REPLACE(P13,SEARCH("Home",P13),4,Sheet1!$G15)</f>
        <v>Cleveland Browns win, tie, or Jacksonville Jaguars win by 7 or less</v>
      </c>
      <c r="X13" s="1" t="str">
        <f>REPLACE(Q13,SEARCH("Home",Q13),4,Sheet1!$G15)</f>
        <v>Jacksonville Jaguars win by 8 or more</v>
      </c>
      <c r="Y13" s="1" t="e">
        <f>REPLACE(R13,SEARCH("Home",R13),4,Sheet1!$G15)</f>
        <v>#VALUE!</v>
      </c>
      <c r="Z13" s="1" t="str">
        <f>REPLACE(S13,SEARCH("Home",S13),4,Sheet1!$G15)</f>
        <v>Cleveland Browns + Jacksonville Jaguars score is 40 or less</v>
      </c>
      <c r="AA13" s="1" t="str">
        <f>REPLACE(T13,SEARCH("Home",T13),4,Sheet1!$G15)</f>
        <v>Cleveland Browns + Jacksonville Jaguars score is 41 or more</v>
      </c>
      <c r="AB13" s="1" t="e">
        <f>REPLACE(U13,SEARCH("Home",U13),4,Sheet1!$G15)</f>
        <v>#VALUE!</v>
      </c>
      <c r="AD13" s="1" t="str">
        <f t="shared" si="15"/>
        <v>Cleveland Browns win, tie, or Jacksonville Jaguars win by 7 or less</v>
      </c>
      <c r="AE13" s="1" t="str">
        <f t="shared" si="9"/>
        <v>Jacksonville Jaguars win by 8 or more</v>
      </c>
      <c r="AF13" s="1" t="str">
        <f t="shared" si="10"/>
        <v>Michigan can win a game in regular time, not make-believe time…</v>
      </c>
      <c r="AG13" s="1" t="str">
        <f t="shared" si="11"/>
        <v>Cleveland Browns + Jacksonville Jaguars score is 40 or less</v>
      </c>
      <c r="AH13" s="1" t="str">
        <f t="shared" si="12"/>
        <v>Cleveland Browns + Jacksonville Jaguars score is 41 or more</v>
      </c>
      <c r="AI13" s="1" t="str">
        <f t="shared" si="13"/>
        <v>Michigan can win a game in regular time, not make-believe time…</v>
      </c>
    </row>
    <row r="14" spans="1:35" x14ac:dyDescent="0.2">
      <c r="B14" s="1" t="str">
        <f>VLOOKUP(Sheet1!$H16,line_desc!$A:$D,B$4,0)</f>
        <v>Away win by 2 or more</v>
      </c>
      <c r="C14" s="1" t="str">
        <f>VLOOKUP(Sheet1!$H16,line_desc!$A:$D,C$4,0)</f>
        <v>Home win, tie, or Away win by 1</v>
      </c>
      <c r="D14" s="1" t="str">
        <f>VLOOKUP(Sheet1!$H16,line_desc!$A:$D,D$4,0)</f>
        <v>Michigan can win a game in regular time, not make-believe time…</v>
      </c>
      <c r="E14" s="1" t="str">
        <f>VLOOKUP(Sheet1!$I16,o_u_desc!$A:$D,E$4,0)</f>
        <v>Away + Home score is 44 or less</v>
      </c>
      <c r="F14" s="1" t="str">
        <f>VLOOKUP(Sheet1!$I16,o_u_desc!$A:$D,F$4,0)</f>
        <v>Away + Home score is 45 or more</v>
      </c>
      <c r="G14" s="1" t="str">
        <f>VLOOKUP(Sheet1!$I16,o_u_desc!$A:$D,G$4,0)</f>
        <v>Michigan can win a game in regular time, not make-believe time…</v>
      </c>
      <c r="I14" s="1" t="str">
        <f>REPLACE(B14,SEARCH("Away",B14),4,Sheet1!$E16)</f>
        <v>Buffalo Bills win by 2 or more</v>
      </c>
      <c r="J14" s="1" t="str">
        <f>REPLACE(C14,SEARCH("Away",C14),4,Sheet1!$E16)</f>
        <v>Home win, tie, or Buffalo Bills win by 1</v>
      </c>
      <c r="K14" s="1" t="e">
        <f>REPLACE(D14,SEARCH("Away",D14),4,Sheet1!$E16)</f>
        <v>#VALUE!</v>
      </c>
      <c r="L14" s="1" t="str">
        <f>REPLACE(E14,SEARCH("Away",E14),4,Sheet1!$E16)</f>
        <v>Buffalo Bills + Home score is 44 or less</v>
      </c>
      <c r="M14" s="1" t="str">
        <f>REPLACE(F14,SEARCH("Away",F14),4,Sheet1!$E16)</f>
        <v>Buffalo Bills + Home score is 45 or more</v>
      </c>
      <c r="N14" s="1" t="e">
        <f>REPLACE(G14,SEARCH("Away",G14),4,Sheet1!$E16)</f>
        <v>#VALUE!</v>
      </c>
      <c r="P14" s="1" t="str">
        <f t="shared" si="14"/>
        <v>Buffalo Bills win by 2 or more</v>
      </c>
      <c r="Q14" s="1" t="str">
        <f t="shared" si="4"/>
        <v>Home win, tie, or Buffalo Bills win by 1</v>
      </c>
      <c r="R14" s="1" t="str">
        <f t="shared" si="5"/>
        <v>Michigan can win a game in regular time, not make-believe time…</v>
      </c>
      <c r="S14" s="1" t="str">
        <f t="shared" si="6"/>
        <v>Buffalo Bills + Home score is 44 or less</v>
      </c>
      <c r="T14" s="1" t="str">
        <f t="shared" si="7"/>
        <v>Buffalo Bills + Home score is 45 or more</v>
      </c>
      <c r="U14" s="1" t="str">
        <f t="shared" si="8"/>
        <v>Michigan can win a game in regular time, not make-believe time…</v>
      </c>
      <c r="W14" s="1" t="e">
        <f>REPLACE(P14,SEARCH("Home",P14),4,Sheet1!$G16)</f>
        <v>#VALUE!</v>
      </c>
      <c r="X14" s="1" t="str">
        <f>REPLACE(Q14,SEARCH("Home",Q14),4,Sheet1!$G16)</f>
        <v>Houston Texans win, tie, or Buffalo Bills win by 1</v>
      </c>
      <c r="Y14" s="1" t="e">
        <f>REPLACE(R14,SEARCH("Home",R14),4,Sheet1!$G16)</f>
        <v>#VALUE!</v>
      </c>
      <c r="Z14" s="1" t="str">
        <f>REPLACE(S14,SEARCH("Home",S14),4,Sheet1!$G16)</f>
        <v>Buffalo Bills + Houston Texans score is 44 or less</v>
      </c>
      <c r="AA14" s="1" t="str">
        <f>REPLACE(T14,SEARCH("Home",T14),4,Sheet1!$G16)</f>
        <v>Buffalo Bills + Houston Texans score is 45 or more</v>
      </c>
      <c r="AB14" s="1" t="e">
        <f>REPLACE(U14,SEARCH("Home",U14),4,Sheet1!$G16)</f>
        <v>#VALUE!</v>
      </c>
      <c r="AD14" s="1" t="str">
        <f t="shared" si="15"/>
        <v>Buffalo Bills win by 2 or more</v>
      </c>
      <c r="AE14" s="1" t="str">
        <f t="shared" si="9"/>
        <v>Houston Texans win, tie, or Buffalo Bills win by 1</v>
      </c>
      <c r="AF14" s="1" t="str">
        <f t="shared" si="10"/>
        <v>Michigan can win a game in regular time, not make-believe time…</v>
      </c>
      <c r="AG14" s="1" t="str">
        <f t="shared" si="11"/>
        <v>Buffalo Bills + Houston Texans score is 44 or less</v>
      </c>
      <c r="AH14" s="1" t="str">
        <f t="shared" si="12"/>
        <v>Buffalo Bills + Houston Texans score is 45 or more</v>
      </c>
      <c r="AI14" s="1" t="str">
        <f t="shared" si="13"/>
        <v>Michigan can win a game in regular time, not make-believe time…</v>
      </c>
    </row>
    <row r="15" spans="1:35" x14ac:dyDescent="0.2">
      <c r="B15" s="1" t="str">
        <f>VLOOKUP(Sheet1!$H17,line_desc!$A:$D,B$4,0)</f>
        <v>Away win, tie, or Home win by 3 or less</v>
      </c>
      <c r="C15" s="1" t="str">
        <f>VLOOKUP(Sheet1!$H17,line_desc!$A:$D,C$4,0)</f>
        <v>Home win by 4 or more</v>
      </c>
      <c r="D15" s="1" t="str">
        <f>VLOOKUP(Sheet1!$H17,line_desc!$A:$D,D$4,0)</f>
        <v>Michigan can win a game in regular time, not make-believe time…</v>
      </c>
      <c r="E15" s="1" t="str">
        <f>VLOOKUP(Sheet1!$I17,o_u_desc!$A:$D,E$4,0)</f>
        <v>Away + Home score is 40 or less</v>
      </c>
      <c r="F15" s="1" t="str">
        <f>VLOOKUP(Sheet1!$I17,o_u_desc!$A:$D,F$4,0)</f>
        <v>Away + Home score is 41 or more</v>
      </c>
      <c r="G15" s="1" t="str">
        <f>VLOOKUP(Sheet1!$I17,o_u_desc!$A:$D,G$4,0)</f>
        <v>Michigan can win a game in regular time, not make-believe time…</v>
      </c>
      <c r="I15" s="1" t="str">
        <f>REPLACE(B15,SEARCH("Away",B15),4,Sheet1!$E17)</f>
        <v>Miami Dolphins win, tie, or Home win by 3 or less</v>
      </c>
      <c r="J15" s="1" t="e">
        <f>REPLACE(C15,SEARCH("Away",C15),4,Sheet1!$E17)</f>
        <v>#VALUE!</v>
      </c>
      <c r="K15" s="1" t="e">
        <f>REPLACE(D15,SEARCH("Away",D15),4,Sheet1!$E17)</f>
        <v>#VALUE!</v>
      </c>
      <c r="L15" s="1" t="str">
        <f>REPLACE(E15,SEARCH("Away",E15),4,Sheet1!$E17)</f>
        <v>Miami Dolphins + Home score is 40 or less</v>
      </c>
      <c r="M15" s="1" t="str">
        <f>REPLACE(F15,SEARCH("Away",F15),4,Sheet1!$E17)</f>
        <v>Miami Dolphins + Home score is 41 or more</v>
      </c>
      <c r="N15" s="1" t="e">
        <f>REPLACE(G15,SEARCH("Away",G15),4,Sheet1!$E17)</f>
        <v>#VALUE!</v>
      </c>
      <c r="P15" s="1" t="str">
        <f t="shared" si="14"/>
        <v>Miami Dolphins win, tie, or Home win by 3 or less</v>
      </c>
      <c r="Q15" s="1" t="str">
        <f t="shared" si="4"/>
        <v>Home win by 4 or more</v>
      </c>
      <c r="R15" s="1" t="str">
        <f t="shared" si="5"/>
        <v>Michigan can win a game in regular time, not make-believe time…</v>
      </c>
      <c r="S15" s="1" t="str">
        <f t="shared" si="6"/>
        <v>Miami Dolphins + Home score is 40 or less</v>
      </c>
      <c r="T15" s="1" t="str">
        <f t="shared" si="7"/>
        <v>Miami Dolphins + Home score is 41 or more</v>
      </c>
      <c r="U15" s="1" t="str">
        <f t="shared" si="8"/>
        <v>Michigan can win a game in regular time, not make-believe time…</v>
      </c>
      <c r="W15" s="1" t="str">
        <f>REPLACE(P15,SEARCH("Home",P15),4,Sheet1!$G17)</f>
        <v>Miami Dolphins win, tie, or Las Vegas Raiders win by 3 or less</v>
      </c>
      <c r="X15" s="1" t="str">
        <f>REPLACE(Q15,SEARCH("Home",Q15),4,Sheet1!$G17)</f>
        <v>Las Vegas Raiders win by 4 or more</v>
      </c>
      <c r="Y15" s="1" t="e">
        <f>REPLACE(R15,SEARCH("Home",R15),4,Sheet1!$G17)</f>
        <v>#VALUE!</v>
      </c>
      <c r="Z15" s="1" t="str">
        <f>REPLACE(S15,SEARCH("Home",S15),4,Sheet1!$G17)</f>
        <v>Miami Dolphins + Las Vegas Raiders score is 40 or less</v>
      </c>
      <c r="AA15" s="1" t="str">
        <f>REPLACE(T15,SEARCH("Home",T15),4,Sheet1!$G17)</f>
        <v>Miami Dolphins + Las Vegas Raiders score is 41 or more</v>
      </c>
      <c r="AB15" s="1" t="e">
        <f>REPLACE(U15,SEARCH("Home",U15),4,Sheet1!$G17)</f>
        <v>#VALUE!</v>
      </c>
      <c r="AD15" s="1" t="str">
        <f t="shared" si="15"/>
        <v>Miami Dolphins win, tie, or Las Vegas Raiders win by 3 or less</v>
      </c>
      <c r="AE15" s="1" t="str">
        <f t="shared" si="9"/>
        <v>Las Vegas Raiders win by 4 or more</v>
      </c>
      <c r="AF15" s="1" t="str">
        <f t="shared" si="10"/>
        <v>Michigan can win a game in regular time, not make-believe time…</v>
      </c>
      <c r="AG15" s="1" t="str">
        <f t="shared" si="11"/>
        <v>Miami Dolphins + Las Vegas Raiders score is 40 or less</v>
      </c>
      <c r="AH15" s="1" t="str">
        <f t="shared" si="12"/>
        <v>Miami Dolphins + Las Vegas Raiders score is 41 or more</v>
      </c>
      <c r="AI15" s="1" t="str">
        <f t="shared" si="13"/>
        <v>Michigan can win a game in regular time, not make-believe time…</v>
      </c>
    </row>
    <row r="16" spans="1:35" x14ac:dyDescent="0.2">
      <c r="B16" s="1" t="str">
        <f>VLOOKUP(Sheet1!$H18,line_desc!$A:$D,B$4,0)</f>
        <v>Away win, tie, or Home win by 1</v>
      </c>
      <c r="C16" s="1" t="str">
        <f>VLOOKUP(Sheet1!$H18,line_desc!$A:$D,C$4,0)</f>
        <v>Home win by 2 or more</v>
      </c>
      <c r="D16" s="1" t="str">
        <f>VLOOKUP(Sheet1!$H18,line_desc!$A:$D,D$4,0)</f>
        <v>Michigan can win a game in regular time, not make-believe time…</v>
      </c>
      <c r="E16" s="1" t="str">
        <f>VLOOKUP(Sheet1!$I18,o_u_desc!$A:$D,E$4,0)</f>
        <v>Away + Home score is 46 or less</v>
      </c>
      <c r="F16" s="1" t="str">
        <f>VLOOKUP(Sheet1!$I18,o_u_desc!$A:$D,F$4,0)</f>
        <v>Away + Home score is 47 or more</v>
      </c>
      <c r="G16" s="1" t="str">
        <f>VLOOKUP(Sheet1!$I18,o_u_desc!$A:$D,G$4,0)</f>
        <v>Michigan can win a game in regular time, not make-believe time…</v>
      </c>
      <c r="I16" s="1" t="str">
        <f>REPLACE(B16,SEARCH("Away",B16),4,Sheet1!$E18)</f>
        <v>Green Bay Packers win, tie, or Home win by 1</v>
      </c>
      <c r="J16" s="1" t="e">
        <f>REPLACE(C16,SEARCH("Away",C16),4,Sheet1!$E18)</f>
        <v>#VALUE!</v>
      </c>
      <c r="K16" s="1" t="e">
        <f>REPLACE(D16,SEARCH("Away",D16),4,Sheet1!$E18)</f>
        <v>#VALUE!</v>
      </c>
      <c r="L16" s="1" t="str">
        <f>REPLACE(E16,SEARCH("Away",E16),4,Sheet1!$E18)</f>
        <v>Green Bay Packers + Home score is 46 or less</v>
      </c>
      <c r="M16" s="1" t="str">
        <f>REPLACE(F16,SEARCH("Away",F16),4,Sheet1!$E18)</f>
        <v>Green Bay Packers + Home score is 47 or more</v>
      </c>
      <c r="N16" s="1" t="e">
        <f>REPLACE(G16,SEARCH("Away",G16),4,Sheet1!$E18)</f>
        <v>#VALUE!</v>
      </c>
      <c r="P16" s="1" t="str">
        <f t="shared" si="14"/>
        <v>Green Bay Packers win, tie, or Home win by 1</v>
      </c>
      <c r="Q16" s="1" t="str">
        <f t="shared" si="4"/>
        <v>Home win by 2 or more</v>
      </c>
      <c r="R16" s="1" t="str">
        <f t="shared" si="5"/>
        <v>Michigan can win a game in regular time, not make-believe time…</v>
      </c>
      <c r="S16" s="1" t="str">
        <f t="shared" si="6"/>
        <v>Green Bay Packers + Home score is 46 or less</v>
      </c>
      <c r="T16" s="1" t="str">
        <f t="shared" si="7"/>
        <v>Green Bay Packers + Home score is 47 or more</v>
      </c>
      <c r="U16" s="1" t="str">
        <f t="shared" si="8"/>
        <v>Michigan can win a game in regular time, not make-believe time…</v>
      </c>
      <c r="W16" s="1" t="str">
        <f>REPLACE(P16,SEARCH("Home",P16),4,Sheet1!$G18)</f>
        <v>Green Bay Packers win, tie, or Minnesota Vikings win by 1</v>
      </c>
      <c r="X16" s="1" t="str">
        <f>REPLACE(Q16,SEARCH("Home",Q16),4,Sheet1!$G18)</f>
        <v>Minnesota Vikings win by 2 or more</v>
      </c>
      <c r="Y16" s="1" t="e">
        <f>REPLACE(R16,SEARCH("Home",R16),4,Sheet1!$G18)</f>
        <v>#VALUE!</v>
      </c>
      <c r="Z16" s="1" t="str">
        <f>REPLACE(S16,SEARCH("Home",S16),4,Sheet1!$G18)</f>
        <v>Green Bay Packers + Minnesota Vikings score is 46 or less</v>
      </c>
      <c r="AA16" s="1" t="str">
        <f>REPLACE(T16,SEARCH("Home",T16),4,Sheet1!$G18)</f>
        <v>Green Bay Packers + Minnesota Vikings score is 47 or more</v>
      </c>
      <c r="AB16" s="1" t="e">
        <f>REPLACE(U16,SEARCH("Home",U16),4,Sheet1!$G18)</f>
        <v>#VALUE!</v>
      </c>
      <c r="AD16" s="1" t="str">
        <f t="shared" si="15"/>
        <v>Green Bay Packers win, tie, or Minnesota Vikings win by 1</v>
      </c>
      <c r="AE16" s="1" t="str">
        <f t="shared" si="9"/>
        <v>Minnesota Vikings win by 2 or more</v>
      </c>
      <c r="AF16" s="1" t="str">
        <f t="shared" si="10"/>
        <v>Michigan can win a game in regular time, not make-believe time…</v>
      </c>
      <c r="AG16" s="1" t="str">
        <f t="shared" si="11"/>
        <v>Green Bay Packers + Minnesota Vikings score is 46 or less</v>
      </c>
      <c r="AH16" s="1" t="str">
        <f t="shared" si="12"/>
        <v>Green Bay Packers + Minnesota Vikings score is 47 or more</v>
      </c>
      <c r="AI16" s="1" t="str">
        <f t="shared" si="13"/>
        <v>Michigan can win a game in regular time, not make-believe time…</v>
      </c>
    </row>
    <row r="17" spans="2:35" x14ac:dyDescent="0.2">
      <c r="B17" s="1" t="str">
        <f>VLOOKUP(Sheet1!$H19,line_desc!$A:$D,B$4,0)</f>
        <v>Away win, tie, or Home win by 4 or less</v>
      </c>
      <c r="C17" s="1" t="str">
        <f>VLOOKUP(Sheet1!$H19,line_desc!$A:$D,C$4,0)</f>
        <v>Home win by 5 or more</v>
      </c>
      <c r="D17" s="1" t="str">
        <f>VLOOKUP(Sheet1!$H19,line_desc!$A:$D,D$4,0)</f>
        <v>Michigan can win a game in regular time, not make-believe time…</v>
      </c>
      <c r="E17" s="1" t="str">
        <f>VLOOKUP(Sheet1!$I19,o_u_desc!$A:$D,E$4,0)</f>
        <v>Away + Home score is 44 or less</v>
      </c>
      <c r="F17" s="1" t="str">
        <f>VLOOKUP(Sheet1!$I19,o_u_desc!$A:$D,F$4,0)</f>
        <v>Away + Home score is 45 or more</v>
      </c>
      <c r="G17" s="1" t="str">
        <f>VLOOKUP(Sheet1!$I19,o_u_desc!$A:$D,G$4,0)</f>
        <v>Michigan can win a game in regular time, not make-believe time…</v>
      </c>
      <c r="I17" s="1" t="str">
        <f>REPLACE(B17,SEARCH("Away",B17),4,Sheet1!$E19)</f>
        <v>Washington Commanders win, tie, or Home win by 4 or less</v>
      </c>
      <c r="J17" s="1" t="e">
        <f>REPLACE(C17,SEARCH("Away",C17),4,Sheet1!$E19)</f>
        <v>#VALUE!</v>
      </c>
      <c r="K17" s="1" t="e">
        <f>REPLACE(D17,SEARCH("Away",D17),4,Sheet1!$E19)</f>
        <v>#VALUE!</v>
      </c>
      <c r="L17" s="1" t="str">
        <f>REPLACE(E17,SEARCH("Away",E17),4,Sheet1!$E19)</f>
        <v>Washington Commanders + Home score is 44 or less</v>
      </c>
      <c r="M17" s="1" t="str">
        <f>REPLACE(F17,SEARCH("Away",F17),4,Sheet1!$E19)</f>
        <v>Washington Commanders + Home score is 45 or more</v>
      </c>
      <c r="N17" s="1" t="e">
        <f>REPLACE(G17,SEARCH("Away",G17),4,Sheet1!$E19)</f>
        <v>#VALUE!</v>
      </c>
      <c r="P17" s="1" t="str">
        <f t="shared" si="14"/>
        <v>Washington Commanders win, tie, or Home win by 4 or less</v>
      </c>
      <c r="Q17" s="1" t="str">
        <f t="shared" si="4"/>
        <v>Home win by 5 or more</v>
      </c>
      <c r="R17" s="1" t="str">
        <f t="shared" si="5"/>
        <v>Michigan can win a game in regular time, not make-believe time…</v>
      </c>
      <c r="S17" s="1" t="str">
        <f t="shared" si="6"/>
        <v>Washington Commanders + Home score is 44 or less</v>
      </c>
      <c r="T17" s="1" t="str">
        <f t="shared" si="7"/>
        <v>Washington Commanders + Home score is 45 or more</v>
      </c>
      <c r="U17" s="1" t="str">
        <f t="shared" si="8"/>
        <v>Michigan can win a game in regular time, not make-believe time…</v>
      </c>
      <c r="W17" s="1" t="str">
        <f>REPLACE(P17,SEARCH("Home",P17),4,Sheet1!$G19)</f>
        <v>Washington Commanders win, tie, or Philadelphia Eagles win by 4 or less</v>
      </c>
      <c r="X17" s="1" t="str">
        <f>REPLACE(Q17,SEARCH("Home",Q17),4,Sheet1!$G19)</f>
        <v>Philadelphia Eagles win by 5 or more</v>
      </c>
      <c r="Y17" s="1" t="e">
        <f>REPLACE(R17,SEARCH("Home",R17),4,Sheet1!$G19)</f>
        <v>#VALUE!</v>
      </c>
      <c r="Z17" s="1" t="str">
        <f>REPLACE(S17,SEARCH("Home",S17),4,Sheet1!$G19)</f>
        <v>Washington Commanders + Philadelphia Eagles score is 44 or less</v>
      </c>
      <c r="AA17" s="1" t="str">
        <f>REPLACE(T17,SEARCH("Home",T17),4,Sheet1!$G19)</f>
        <v>Washington Commanders + Philadelphia Eagles score is 45 or more</v>
      </c>
      <c r="AB17" s="1" t="e">
        <f>REPLACE(U17,SEARCH("Home",U17),4,Sheet1!$G19)</f>
        <v>#VALUE!</v>
      </c>
      <c r="AD17" s="1" t="str">
        <f t="shared" si="15"/>
        <v>Washington Commanders win, tie, or Philadelphia Eagles win by 4 or less</v>
      </c>
      <c r="AE17" s="1" t="str">
        <f t="shared" si="9"/>
        <v>Philadelphia Eagles win by 5 or more</v>
      </c>
      <c r="AF17" s="1" t="str">
        <f t="shared" si="10"/>
        <v>Michigan can win a game in regular time, not make-believe time…</v>
      </c>
      <c r="AG17" s="1" t="str">
        <f t="shared" si="11"/>
        <v>Washington Commanders + Philadelphia Eagles score is 44 or less</v>
      </c>
      <c r="AH17" s="1" t="str">
        <f t="shared" si="12"/>
        <v>Washington Commanders + Philadelphia Eagles score is 45 or more</v>
      </c>
      <c r="AI17" s="1" t="str">
        <f t="shared" si="13"/>
        <v>Michigan can win a game in regular time, not make-believe time…</v>
      </c>
    </row>
    <row r="18" spans="2:35" x14ac:dyDescent="0.2">
      <c r="B18" s="1" t="str">
        <f>VLOOKUP(Sheet1!$H20,line_desc!$A:$D,B$4,0)</f>
        <v>Away win, tie, or Home win by 9 or less</v>
      </c>
      <c r="C18" s="1" t="str">
        <f>VLOOKUP(Sheet1!$H20,line_desc!$A:$D,C$4,0)</f>
        <v>Home win by 11 or more</v>
      </c>
      <c r="D18" s="1" t="str">
        <f>VLOOKUP(Sheet1!$H20,line_desc!$A:$D,D$4,0)</f>
        <v>Home win by 10</v>
      </c>
      <c r="E18" s="1" t="str">
        <f>VLOOKUP(Sheet1!$I20,o_u_desc!$A:$D,E$4,0)</f>
        <v>Away + Home score is 47 or less</v>
      </c>
      <c r="F18" s="1" t="str">
        <f>VLOOKUP(Sheet1!$I20,o_u_desc!$A:$D,F$4,0)</f>
        <v>Away + Home score is 48 or more</v>
      </c>
      <c r="G18" s="1" t="str">
        <f>VLOOKUP(Sheet1!$I20,o_u_desc!$A:$D,G$4,0)</f>
        <v>Michigan can win a game in regular time, not make-believe time…</v>
      </c>
      <c r="I18" s="1" t="str">
        <f>REPLACE(B18,SEARCH("Away",B18),4,Sheet1!$E20)</f>
        <v>Arizona Cardinals win, tie, or Home win by 9 or less</v>
      </c>
      <c r="J18" s="1" t="e">
        <f>REPLACE(C18,SEARCH("Away",C18),4,Sheet1!$E20)</f>
        <v>#VALUE!</v>
      </c>
      <c r="K18" s="1" t="e">
        <f>REPLACE(D18,SEARCH("Away",D18),4,Sheet1!$E20)</f>
        <v>#VALUE!</v>
      </c>
      <c r="L18" s="1" t="str">
        <f>REPLACE(E18,SEARCH("Away",E18),4,Sheet1!$E20)</f>
        <v>Arizona Cardinals + Home score is 47 or less</v>
      </c>
      <c r="M18" s="1" t="str">
        <f>REPLACE(F18,SEARCH("Away",F18),4,Sheet1!$E20)</f>
        <v>Arizona Cardinals + Home score is 48 or more</v>
      </c>
      <c r="N18" s="1" t="e">
        <f>REPLACE(G18,SEARCH("Away",G18),4,Sheet1!$E20)</f>
        <v>#VALUE!</v>
      </c>
      <c r="P18" s="1" t="str">
        <f t="shared" si="14"/>
        <v>Arizona Cardinals win, tie, or Home win by 9 or less</v>
      </c>
      <c r="Q18" s="1" t="str">
        <f t="shared" si="4"/>
        <v>Home win by 11 or more</v>
      </c>
      <c r="R18" s="1" t="str">
        <f t="shared" si="5"/>
        <v>Home win by 10</v>
      </c>
      <c r="S18" s="1" t="str">
        <f t="shared" si="6"/>
        <v>Arizona Cardinals + Home score is 47 or less</v>
      </c>
      <c r="T18" s="1" t="str">
        <f t="shared" si="7"/>
        <v>Arizona Cardinals + Home score is 48 or more</v>
      </c>
      <c r="U18" s="1" t="str">
        <f t="shared" si="8"/>
        <v>Michigan can win a game in regular time, not make-believe time…</v>
      </c>
      <c r="W18" s="1" t="str">
        <f>REPLACE(P18,SEARCH("Home",P18),4,Sheet1!$G20)</f>
        <v>Arizona Cardinals win, tie, or Los Angeles Chargers win by 9 or less</v>
      </c>
      <c r="X18" s="1" t="str">
        <f>REPLACE(Q18,SEARCH("Home",Q18),4,Sheet1!$G20)</f>
        <v>Los Angeles Chargers win by 11 or more</v>
      </c>
      <c r="Y18" s="1" t="str">
        <f>REPLACE(R18,SEARCH("Home",R18),4,Sheet1!$G20)</f>
        <v>Los Angeles Chargers win by 10</v>
      </c>
      <c r="Z18" s="1" t="str">
        <f>REPLACE(S18,SEARCH("Home",S18),4,Sheet1!$G20)</f>
        <v>Arizona Cardinals + Los Angeles Chargers score is 47 or less</v>
      </c>
      <c r="AA18" s="1" t="str">
        <f>REPLACE(T18,SEARCH("Home",T18),4,Sheet1!$G20)</f>
        <v>Arizona Cardinals + Los Angeles Chargers score is 48 or more</v>
      </c>
      <c r="AB18" s="1" t="e">
        <f>REPLACE(U18,SEARCH("Home",U18),4,Sheet1!$G20)</f>
        <v>#VALUE!</v>
      </c>
      <c r="AD18" s="1" t="str">
        <f t="shared" si="15"/>
        <v>Arizona Cardinals win, tie, or Los Angeles Chargers win by 9 or less</v>
      </c>
      <c r="AE18" s="1" t="str">
        <f t="shared" si="9"/>
        <v>Los Angeles Chargers win by 11 or more</v>
      </c>
      <c r="AF18" s="1" t="str">
        <f t="shared" si="10"/>
        <v>Los Angeles Chargers win by 10</v>
      </c>
      <c r="AG18" s="1" t="str">
        <f t="shared" si="11"/>
        <v>Arizona Cardinals + Los Angeles Chargers score is 47 or less</v>
      </c>
      <c r="AH18" s="1" t="str">
        <f t="shared" si="12"/>
        <v>Arizona Cardinals + Los Angeles Chargers score is 48 or more</v>
      </c>
      <c r="AI18" s="1" t="str">
        <f t="shared" si="13"/>
        <v>Michigan can win a game in regular time, not make-believe time…</v>
      </c>
    </row>
    <row r="19" spans="2:35" x14ac:dyDescent="0.2">
      <c r="B19" s="1" t="str">
        <f>VLOOKUP(Sheet1!$H21,line_desc!$A:$D,B$4,0)</f>
        <v>Away win by 4 or more</v>
      </c>
      <c r="C19" s="1" t="str">
        <f>VLOOKUP(Sheet1!$H21,line_desc!$A:$D,C$4,0)</f>
        <v>Home win, tie, or Away win by 2 or less</v>
      </c>
      <c r="D19" s="1" t="str">
        <f>VLOOKUP(Sheet1!$H21,line_desc!$A:$D,D$4,0)</f>
        <v>Away win by 3</v>
      </c>
      <c r="E19" s="1" t="str">
        <f>VLOOKUP(Sheet1!$I21,o_u_desc!$A:$D,E$4,0)</f>
        <v>Away + Home score is 48 or less</v>
      </c>
      <c r="F19" s="1" t="str">
        <f>VLOOKUP(Sheet1!$I21,o_u_desc!$A:$D,F$4,0)</f>
        <v>Away + Home score is 49 or more</v>
      </c>
      <c r="G19" s="1" t="str">
        <f>VLOOKUP(Sheet1!$I21,o_u_desc!$A:$D,G$4,0)</f>
        <v>Michigan can win a game in regular time, not make-believe time…</v>
      </c>
      <c r="I19" s="1" t="str">
        <f>REPLACE(B19,SEARCH("Away",B19),4,Sheet1!$E21)</f>
        <v>Dallas Cowboys win by 4 or more</v>
      </c>
      <c r="J19" s="1" t="str">
        <f>REPLACE(C19,SEARCH("Away",C19),4,Sheet1!$E21)</f>
        <v>Home win, tie, or Dallas Cowboys win by 2 or less</v>
      </c>
      <c r="K19" s="1" t="str">
        <f>REPLACE(D19,SEARCH("Away",D19),4,Sheet1!$E21)</f>
        <v>Dallas Cowboys win by 3</v>
      </c>
      <c r="L19" s="1" t="str">
        <f>REPLACE(E19,SEARCH("Away",E19),4,Sheet1!$E21)</f>
        <v>Dallas Cowboys + Home score is 48 or less</v>
      </c>
      <c r="M19" s="1" t="str">
        <f>REPLACE(F19,SEARCH("Away",F19),4,Sheet1!$E21)</f>
        <v>Dallas Cowboys + Home score is 49 or more</v>
      </c>
      <c r="N19" s="1" t="e">
        <f>REPLACE(G19,SEARCH("Away",G19),4,Sheet1!$E21)</f>
        <v>#VALUE!</v>
      </c>
      <c r="P19" s="1" t="str">
        <f t="shared" si="14"/>
        <v>Dallas Cowboys win by 4 or more</v>
      </c>
      <c r="Q19" s="1" t="str">
        <f t="shared" si="4"/>
        <v>Home win, tie, or Dallas Cowboys win by 2 or less</v>
      </c>
      <c r="R19" s="1" t="str">
        <f t="shared" si="5"/>
        <v>Dallas Cowboys win by 3</v>
      </c>
      <c r="S19" s="1" t="str">
        <f t="shared" si="6"/>
        <v>Dallas Cowboys + Home score is 48 or less</v>
      </c>
      <c r="T19" s="1" t="str">
        <f t="shared" si="7"/>
        <v>Dallas Cowboys + Home score is 49 or more</v>
      </c>
      <c r="U19" s="1" t="str">
        <f t="shared" si="8"/>
        <v>Michigan can win a game in regular time, not make-believe time…</v>
      </c>
      <c r="W19" s="1" t="e">
        <f>REPLACE(P19,SEARCH("Home",P19),4,Sheet1!$G21)</f>
        <v>#VALUE!</v>
      </c>
      <c r="X19" s="1" t="str">
        <f>REPLACE(Q19,SEARCH("Home",Q19),4,Sheet1!$G21)</f>
        <v>New York Giants win, tie, or Dallas Cowboys win by 2 or less</v>
      </c>
      <c r="Y19" s="1" t="e">
        <f>REPLACE(R19,SEARCH("Home",R19),4,Sheet1!$G21)</f>
        <v>#VALUE!</v>
      </c>
      <c r="Z19" s="1" t="str">
        <f>REPLACE(S19,SEARCH("Home",S19),4,Sheet1!$G21)</f>
        <v>Dallas Cowboys + New York Giants score is 48 or less</v>
      </c>
      <c r="AA19" s="1" t="str">
        <f>REPLACE(T19,SEARCH("Home",T19),4,Sheet1!$G21)</f>
        <v>Dallas Cowboys + New York Giants score is 49 or more</v>
      </c>
      <c r="AB19" s="1" t="e">
        <f>REPLACE(U19,SEARCH("Home",U19),4,Sheet1!$G21)</f>
        <v>#VALUE!</v>
      </c>
      <c r="AD19" s="1" t="str">
        <f t="shared" si="15"/>
        <v>Dallas Cowboys win by 4 or more</v>
      </c>
      <c r="AE19" s="1" t="str">
        <f t="shared" si="9"/>
        <v>New York Giants win, tie, or Dallas Cowboys win by 2 or less</v>
      </c>
      <c r="AF19" s="1" t="str">
        <f t="shared" si="10"/>
        <v>Dallas Cowboys win by 3</v>
      </c>
      <c r="AG19" s="1" t="str">
        <f t="shared" si="11"/>
        <v>Dallas Cowboys + New York Giants score is 48 or less</v>
      </c>
      <c r="AH19" s="1" t="str">
        <f t="shared" si="12"/>
        <v>Dallas Cowboys + New York Giants score is 49 or more</v>
      </c>
      <c r="AI19" s="1" t="str">
        <f t="shared" si="13"/>
        <v>Michigan can win a game in regular time, not make-believe time…</v>
      </c>
    </row>
    <row r="20" spans="2:35" x14ac:dyDescent="0.2">
      <c r="B20" s="1" t="str">
        <f>VLOOKUP(Sheet1!$H22,line_desc!$A:$D,B$4,0)</f>
        <v>Away win, tie, or Home win by 2 or less</v>
      </c>
      <c r="C20" s="1" t="str">
        <f>VLOOKUP(Sheet1!$H22,line_desc!$A:$D,C$4,0)</f>
        <v>Home win by 4 or more</v>
      </c>
      <c r="D20" s="1" t="str">
        <f>VLOOKUP(Sheet1!$H22,line_desc!$A:$D,D$4,0)</f>
        <v>Home win by 3</v>
      </c>
      <c r="E20" s="1" t="str">
        <f>VLOOKUP(Sheet1!$I22,o_u_desc!$A:$D,E$4,0)</f>
        <v>Away + Home score is 42 or less</v>
      </c>
      <c r="F20" s="1" t="str">
        <f>VLOOKUP(Sheet1!$I22,o_u_desc!$A:$D,F$4,0)</f>
        <v>Away + Home score is 43 or more</v>
      </c>
      <c r="G20" s="1" t="str">
        <f>VLOOKUP(Sheet1!$I22,o_u_desc!$A:$D,G$4,0)</f>
        <v>Michigan can win a game in regular time, not make-believe time…</v>
      </c>
      <c r="I20" s="1" t="str">
        <f>REPLACE(B20,SEARCH("Away",B20),4,Sheet1!$E22)</f>
        <v>Denver Broncos win, tie, or Home win by 2 or less</v>
      </c>
      <c r="J20" s="1" t="e">
        <f>REPLACE(C20,SEARCH("Away",C20),4,Sheet1!$E22)</f>
        <v>#VALUE!</v>
      </c>
      <c r="K20" s="1" t="e">
        <f>REPLACE(D20,SEARCH("Away",D20),4,Sheet1!$E22)</f>
        <v>#VALUE!</v>
      </c>
      <c r="L20" s="1" t="str">
        <f>REPLACE(E20,SEARCH("Away",E20),4,Sheet1!$E22)</f>
        <v>Denver Broncos + Home score is 42 or less</v>
      </c>
      <c r="M20" s="1" t="str">
        <f>REPLACE(F20,SEARCH("Away",F20),4,Sheet1!$E22)</f>
        <v>Denver Broncos + Home score is 43 or more</v>
      </c>
      <c r="N20" s="1" t="e">
        <f>REPLACE(G20,SEARCH("Away",G20),4,Sheet1!$E22)</f>
        <v>#VALUE!</v>
      </c>
      <c r="P20" s="1" t="str">
        <f t="shared" si="14"/>
        <v>Denver Broncos win, tie, or Home win by 2 or less</v>
      </c>
      <c r="Q20" s="1" t="str">
        <f t="shared" si="4"/>
        <v>Home win by 4 or more</v>
      </c>
      <c r="R20" s="1" t="str">
        <f t="shared" si="5"/>
        <v>Home win by 3</v>
      </c>
      <c r="S20" s="1" t="str">
        <f t="shared" si="6"/>
        <v>Denver Broncos + Home score is 42 or less</v>
      </c>
      <c r="T20" s="1" t="str">
        <f t="shared" si="7"/>
        <v>Denver Broncos + Home score is 43 or more</v>
      </c>
      <c r="U20" s="1" t="str">
        <f t="shared" si="8"/>
        <v>Michigan can win a game in regular time, not make-believe time…</v>
      </c>
      <c r="W20" s="1" t="str">
        <f>REPLACE(P20,SEARCH("Home",P20),4,Sheet1!$G22)</f>
        <v>Denver Broncos win, tie, or Kansas City Chiefs win by 2 or less</v>
      </c>
      <c r="X20" s="1" t="str">
        <f>REPLACE(Q20,SEARCH("Home",Q20),4,Sheet1!$G22)</f>
        <v>Kansas City Chiefs win by 4 or more</v>
      </c>
      <c r="Y20" s="1" t="str">
        <f>REPLACE(R20,SEARCH("Home",R20),4,Sheet1!$G22)</f>
        <v>Kansas City Chiefs win by 3</v>
      </c>
      <c r="Z20" s="1" t="str">
        <f>REPLACE(S20,SEARCH("Home",S20),4,Sheet1!$G22)</f>
        <v>Denver Broncos + Kansas City Chiefs score is 42 or less</v>
      </c>
      <c r="AA20" s="1" t="str">
        <f>REPLACE(T20,SEARCH("Home",T20),4,Sheet1!$G22)</f>
        <v>Denver Broncos + Kansas City Chiefs score is 43 or more</v>
      </c>
      <c r="AB20" s="1" t="e">
        <f>REPLACE(U20,SEARCH("Home",U20),4,Sheet1!$G22)</f>
        <v>#VALUE!</v>
      </c>
      <c r="AD20" s="1" t="str">
        <f t="shared" si="15"/>
        <v>Denver Broncos win, tie, or Kansas City Chiefs win by 2 or less</v>
      </c>
      <c r="AE20" s="1" t="str">
        <f t="shared" si="9"/>
        <v>Kansas City Chiefs win by 4 or more</v>
      </c>
      <c r="AF20" s="1" t="str">
        <f t="shared" si="10"/>
        <v>Kansas City Chiefs win by 3</v>
      </c>
      <c r="AG20" s="1" t="str">
        <f t="shared" si="11"/>
        <v>Denver Broncos + Kansas City Chiefs score is 42 or less</v>
      </c>
      <c r="AH20" s="1" t="str">
        <f t="shared" si="12"/>
        <v>Denver Broncos + Kansas City Chiefs score is 43 or more</v>
      </c>
      <c r="AI20" s="1" t="str">
        <f t="shared" si="13"/>
        <v>Michigan can win a game in regular time, not make-believe time…</v>
      </c>
    </row>
    <row r="23" spans="2:35" x14ac:dyDescent="0.2">
      <c r="B23" s="1" t="s">
        <v>17</v>
      </c>
      <c r="G23" s="1" t="s">
        <v>18</v>
      </c>
    </row>
    <row r="24" spans="2:35" x14ac:dyDescent="0.2">
      <c r="B24" s="1" t="s">
        <v>0</v>
      </c>
      <c r="C24" s="1" t="s">
        <v>1</v>
      </c>
      <c r="D24" s="1" t="s">
        <v>3</v>
      </c>
      <c r="E24" s="1" t="s">
        <v>2</v>
      </c>
      <c r="G24" s="1" t="str">
        <f>B24</f>
        <v>Away</v>
      </c>
      <c r="H24" s="1" t="str">
        <f>C24</f>
        <v>Home</v>
      </c>
      <c r="I24" s="1" t="str">
        <f>D24</f>
        <v>Under</v>
      </c>
      <c r="J24" s="1" t="str">
        <f>E24</f>
        <v>Over</v>
      </c>
    </row>
    <row r="25" spans="2:35" x14ac:dyDescent="0.2">
      <c r="B25" s="1" t="str">
        <f>AD5</f>
        <v>New England Patriots win, tie, or Seattle Seahawks win by 3 or less</v>
      </c>
      <c r="C25" s="1" t="str">
        <f>AE5</f>
        <v>Seattle Seahawks win by 4 or more</v>
      </c>
      <c r="D25" s="1" t="str">
        <f>AG5</f>
        <v>New England Patriots + Seattle Seahawks score is 44 or less</v>
      </c>
      <c r="E25" s="1" t="str">
        <f>AH5</f>
        <v>New England Patriots + Seattle Seahawks score is 45 or more</v>
      </c>
      <c r="G25" s="1" t="str">
        <f>AF5</f>
        <v>Michigan can win a game in regular time, not make-believe time…</v>
      </c>
      <c r="H25" s="1" t="str">
        <f>AF5</f>
        <v>Michigan can win a game in regular time, not make-believe time…</v>
      </c>
      <c r="I25" s="1" t="str">
        <f>AI5</f>
        <v>Michigan can win a game in regular time, not make-believe time…</v>
      </c>
      <c r="J25" s="1" t="str">
        <f>AI5</f>
        <v>Michigan can win a game in regular time, not make-believe time…</v>
      </c>
    </row>
    <row r="26" spans="2:35" x14ac:dyDescent="0.2">
      <c r="B26" s="1" t="str">
        <f t="shared" ref="B26:C26" si="16">AD6</f>
        <v>San Francisco 49ers win, tie, or Los Angeles Rams win by 3 or less</v>
      </c>
      <c r="C26" s="1" t="str">
        <f t="shared" si="16"/>
        <v>Los Angeles Rams win by 4 or more</v>
      </c>
      <c r="D26" s="1" t="str">
        <f t="shared" ref="D26:E26" si="17">AG6</f>
        <v>San Francisco 49ers + Los Angeles Rams score is 48 or less</v>
      </c>
      <c r="E26" s="1" t="str">
        <f t="shared" si="17"/>
        <v>San Francisco 49ers + Los Angeles Rams score is 49 or more</v>
      </c>
      <c r="G26" s="1" t="str">
        <f t="shared" ref="G26:G40" si="18">AF6</f>
        <v>Michigan can win a game in regular time, not make-believe time…</v>
      </c>
      <c r="H26" s="1" t="str">
        <f t="shared" ref="H26:H40" si="19">AF6</f>
        <v>Michigan can win a game in regular time, not make-believe time…</v>
      </c>
      <c r="I26" s="1" t="str">
        <f t="shared" ref="I26:I40" si="20">AI6</f>
        <v>Michigan can win a game in regular time, not make-believe time…</v>
      </c>
      <c r="J26" s="1" t="str">
        <f t="shared" ref="J26:J40" si="21">AI6</f>
        <v>Michigan can win a game in regular time, not make-believe time…</v>
      </c>
    </row>
    <row r="27" spans="2:35" x14ac:dyDescent="0.2">
      <c r="B27" s="1" t="str">
        <f t="shared" ref="B27:C27" si="22">AD7</f>
        <v>Tampa Bay Buccaneers win, tie, or Cincinnati Bengals win by 3 or less</v>
      </c>
      <c r="C27" s="1" t="str">
        <f t="shared" si="22"/>
        <v>Cincinnati Bengals win by 4 or more</v>
      </c>
      <c r="D27" s="1" t="str">
        <f t="shared" ref="D27:E27" si="23">AG7</f>
        <v>Tampa Bay Buccaneers + Cincinnati Bengals score is 50 or less</v>
      </c>
      <c r="E27" s="1" t="str">
        <f t="shared" si="23"/>
        <v>Tampa Bay Buccaneers + Cincinnati Bengals score is 51 or more</v>
      </c>
      <c r="G27" s="1" t="str">
        <f t="shared" si="18"/>
        <v>Michigan can win a game in regular time, not make-believe time…</v>
      </c>
      <c r="H27" s="1" t="str">
        <f t="shared" si="19"/>
        <v>Michigan can win a game in regular time, not make-believe time…</v>
      </c>
      <c r="I27" s="1" t="str">
        <f t="shared" si="20"/>
        <v>Michigan can win a game in regular time, not make-believe time…</v>
      </c>
      <c r="J27" s="1" t="str">
        <f t="shared" si="21"/>
        <v>Michigan can win a game in regular time, not make-believe time…</v>
      </c>
    </row>
    <row r="28" spans="2:35" x14ac:dyDescent="0.2">
      <c r="B28" s="1" t="str">
        <f t="shared" ref="B28:C28" si="24">AD8</f>
        <v>New Orleans Saints win, tie, or Detroit Lions win by 6 or less</v>
      </c>
      <c r="C28" s="1" t="str">
        <f t="shared" si="24"/>
        <v>Detroit Lions win by 8 or more</v>
      </c>
      <c r="D28" s="1" t="str">
        <f t="shared" ref="D28:E28" si="25">AG8</f>
        <v>New Orleans Saints + Detroit Lions score is 49 or less</v>
      </c>
      <c r="E28" s="1" t="str">
        <f t="shared" si="25"/>
        <v>New Orleans Saints + Detroit Lions score is 50 or more</v>
      </c>
      <c r="G28" s="1" t="str">
        <f t="shared" si="18"/>
        <v>Detroit Lions win by 7</v>
      </c>
      <c r="H28" s="1" t="str">
        <f t="shared" si="19"/>
        <v>Detroit Lions win by 7</v>
      </c>
      <c r="I28" s="1" t="str">
        <f t="shared" si="20"/>
        <v>Michigan can win a game in regular time, not make-believe time…</v>
      </c>
      <c r="J28" s="1" t="str">
        <f t="shared" si="21"/>
        <v>Michigan can win a game in regular time, not make-believe time…</v>
      </c>
    </row>
    <row r="29" spans="2:35" x14ac:dyDescent="0.2">
      <c r="B29" s="1" t="str">
        <f t="shared" ref="B29:C29" si="26">AD9</f>
        <v>New York Jets win, tie, or Tennessee Titans win by 1</v>
      </c>
      <c r="C29" s="1" t="str">
        <f t="shared" si="26"/>
        <v>Tennessee Titans win by 2 or more</v>
      </c>
      <c r="D29" s="1" t="str">
        <f t="shared" ref="D29:E29" si="27">AG9</f>
        <v>New York Jets + Tennessee Titans score is 39 or less</v>
      </c>
      <c r="E29" s="1" t="str">
        <f t="shared" si="27"/>
        <v>New York Jets + Tennessee Titans score is 40 or more</v>
      </c>
      <c r="G29" s="1" t="str">
        <f t="shared" si="18"/>
        <v>Michigan can win a game in regular time, not make-believe time…</v>
      </c>
      <c r="H29" s="1" t="str">
        <f t="shared" si="19"/>
        <v>Michigan can win a game in regular time, not make-believe time…</v>
      </c>
      <c r="I29" s="1" t="str">
        <f t="shared" si="20"/>
        <v>Michigan can win a game in regular time, not make-believe time…</v>
      </c>
      <c r="J29" s="1" t="str">
        <f t="shared" si="21"/>
        <v>Michigan can win a game in regular time, not make-believe time…</v>
      </c>
    </row>
    <row r="30" spans="2:35" x14ac:dyDescent="0.2">
      <c r="B30" s="1" t="str">
        <f t="shared" ref="B30:C30" si="28">AD10</f>
        <v>Baltimore Ravens win by 4 or more</v>
      </c>
      <c r="C30" s="1" t="str">
        <f t="shared" si="28"/>
        <v>Indianapolis Colts win, tie, or Baltimore Ravens win by 2 or less</v>
      </c>
      <c r="D30" s="1" t="str">
        <f t="shared" ref="D30:E30" si="29">AG10</f>
        <v>Baltimore Ravens + Indianapolis Colts score is 47 or less</v>
      </c>
      <c r="E30" s="1" t="str">
        <f t="shared" si="29"/>
        <v>Baltimore Ravens + Indianapolis Colts score is 48 or more</v>
      </c>
      <c r="G30" s="1" t="str">
        <f t="shared" si="18"/>
        <v>Baltimore Ravens win by 3</v>
      </c>
      <c r="H30" s="1" t="str">
        <f t="shared" si="19"/>
        <v>Baltimore Ravens win by 3</v>
      </c>
      <c r="I30" s="1" t="str">
        <f t="shared" si="20"/>
        <v>Michigan can win a game in regular time, not make-believe time…</v>
      </c>
      <c r="J30" s="1" t="str">
        <f t="shared" si="21"/>
        <v>Michigan can win a game in regular time, not make-believe time…</v>
      </c>
    </row>
    <row r="31" spans="2:35" x14ac:dyDescent="0.2">
      <c r="B31" s="1" t="str">
        <f t="shared" ref="B31:C31" si="30">AD11</f>
        <v>Atlanta Falcons win, tie, or Pittsburgh Steelers win by 3 or less</v>
      </c>
      <c r="C31" s="1" t="str">
        <f t="shared" si="30"/>
        <v>Pittsburgh Steelers win by 4 or more</v>
      </c>
      <c r="D31" s="1" t="str">
        <f t="shared" ref="D31:E31" si="31">AG11</f>
        <v>Atlanta Falcons + Pittsburgh Steelers score is 42 or less</v>
      </c>
      <c r="E31" s="1" t="str">
        <f t="shared" si="31"/>
        <v>Atlanta Falcons + Pittsburgh Steelers score is 43 or more</v>
      </c>
      <c r="G31" s="1" t="str">
        <f t="shared" si="18"/>
        <v>Michigan can win a game in regular time, not make-believe time…</v>
      </c>
      <c r="H31" s="1" t="str">
        <f t="shared" si="19"/>
        <v>Michigan can win a game in regular time, not make-believe time…</v>
      </c>
      <c r="I31" s="1" t="str">
        <f t="shared" si="20"/>
        <v>Michigan can win a game in regular time, not make-believe time…</v>
      </c>
      <c r="J31" s="1" t="str">
        <f t="shared" si="21"/>
        <v>Michigan can win a game in regular time, not make-believe time…</v>
      </c>
    </row>
    <row r="32" spans="2:35" x14ac:dyDescent="0.2">
      <c r="B32" s="1" t="str">
        <f t="shared" ref="B32:C32" si="32">AD12</f>
        <v>Chicago Bears win by 4 or more</v>
      </c>
      <c r="C32" s="1" t="str">
        <f t="shared" si="32"/>
        <v>Carolina Panthers win, tie, or Chicago Bears win by 2 or less</v>
      </c>
      <c r="D32" s="1" t="str">
        <f t="shared" ref="D32:E32" si="33">AG12</f>
        <v>Chicago Bears + Carolina Panthers score is 46 or less</v>
      </c>
      <c r="E32" s="1" t="str">
        <f t="shared" si="33"/>
        <v>Chicago Bears + Carolina Panthers score is 47 or more</v>
      </c>
      <c r="G32" s="1" t="str">
        <f t="shared" si="18"/>
        <v>Chicago Bears win by 3</v>
      </c>
      <c r="H32" s="1" t="str">
        <f t="shared" si="19"/>
        <v>Chicago Bears win by 3</v>
      </c>
      <c r="I32" s="1" t="str">
        <f t="shared" si="20"/>
        <v>Michigan can win a game in regular time, not make-believe time…</v>
      </c>
      <c r="J32" s="1" t="str">
        <f t="shared" si="21"/>
        <v>Michigan can win a game in regular time, not make-believe time…</v>
      </c>
    </row>
    <row r="33" spans="2:10" x14ac:dyDescent="0.2">
      <c r="B33" s="1" t="str">
        <f t="shared" ref="B33:C33" si="34">AD13</f>
        <v>Cleveland Browns win, tie, or Jacksonville Jaguars win by 7 or less</v>
      </c>
      <c r="C33" s="1" t="str">
        <f t="shared" si="34"/>
        <v>Jacksonville Jaguars win by 8 or more</v>
      </c>
      <c r="D33" s="1" t="str">
        <f t="shared" ref="D33:E33" si="35">AG13</f>
        <v>Cleveland Browns + Jacksonville Jaguars score is 40 or less</v>
      </c>
      <c r="E33" s="1" t="str">
        <f t="shared" si="35"/>
        <v>Cleveland Browns + Jacksonville Jaguars score is 41 or more</v>
      </c>
      <c r="G33" s="1" t="str">
        <f t="shared" si="18"/>
        <v>Michigan can win a game in regular time, not make-believe time…</v>
      </c>
      <c r="H33" s="1" t="str">
        <f t="shared" si="19"/>
        <v>Michigan can win a game in regular time, not make-believe time…</v>
      </c>
      <c r="I33" s="1" t="str">
        <f t="shared" si="20"/>
        <v>Michigan can win a game in regular time, not make-believe time…</v>
      </c>
      <c r="J33" s="1" t="str">
        <f t="shared" si="21"/>
        <v>Michigan can win a game in regular time, not make-believe time…</v>
      </c>
    </row>
    <row r="34" spans="2:10" x14ac:dyDescent="0.2">
      <c r="B34" s="1" t="str">
        <f t="shared" ref="B34:C34" si="36">AD14</f>
        <v>Buffalo Bills win by 2 or more</v>
      </c>
      <c r="C34" s="1" t="str">
        <f t="shared" si="36"/>
        <v>Houston Texans win, tie, or Buffalo Bills win by 1</v>
      </c>
      <c r="D34" s="1" t="str">
        <f t="shared" ref="D34:E34" si="37">AG14</f>
        <v>Buffalo Bills + Houston Texans score is 44 or less</v>
      </c>
      <c r="E34" s="1" t="str">
        <f t="shared" si="37"/>
        <v>Buffalo Bills + Houston Texans score is 45 or more</v>
      </c>
      <c r="G34" s="1" t="str">
        <f t="shared" si="18"/>
        <v>Michigan can win a game in regular time, not make-believe time…</v>
      </c>
      <c r="H34" s="1" t="str">
        <f t="shared" si="19"/>
        <v>Michigan can win a game in regular time, not make-believe time…</v>
      </c>
      <c r="I34" s="1" t="str">
        <f t="shared" si="20"/>
        <v>Michigan can win a game in regular time, not make-believe time…</v>
      </c>
      <c r="J34" s="1" t="str">
        <f t="shared" si="21"/>
        <v>Michigan can win a game in regular time, not make-believe time…</v>
      </c>
    </row>
    <row r="35" spans="2:10" x14ac:dyDescent="0.2">
      <c r="B35" s="1" t="str">
        <f t="shared" ref="B35:C35" si="38">AD15</f>
        <v>Miami Dolphins win, tie, or Las Vegas Raiders win by 3 or less</v>
      </c>
      <c r="C35" s="1" t="str">
        <f t="shared" si="38"/>
        <v>Las Vegas Raiders win by 4 or more</v>
      </c>
      <c r="D35" s="1" t="str">
        <f t="shared" ref="D35:E35" si="39">AG15</f>
        <v>Miami Dolphins + Las Vegas Raiders score is 40 or less</v>
      </c>
      <c r="E35" s="1" t="str">
        <f t="shared" si="39"/>
        <v>Miami Dolphins + Las Vegas Raiders score is 41 or more</v>
      </c>
      <c r="G35" s="1" t="str">
        <f t="shared" si="18"/>
        <v>Michigan can win a game in regular time, not make-believe time…</v>
      </c>
      <c r="H35" s="1" t="str">
        <f t="shared" si="19"/>
        <v>Michigan can win a game in regular time, not make-believe time…</v>
      </c>
      <c r="I35" s="1" t="str">
        <f t="shared" si="20"/>
        <v>Michigan can win a game in regular time, not make-believe time…</v>
      </c>
      <c r="J35" s="1" t="str">
        <f t="shared" si="21"/>
        <v>Michigan can win a game in regular time, not make-believe time…</v>
      </c>
    </row>
    <row r="36" spans="2:10" x14ac:dyDescent="0.2">
      <c r="B36" s="1" t="str">
        <f t="shared" ref="B36:C36" si="40">AD16</f>
        <v>Green Bay Packers win, tie, or Minnesota Vikings win by 1</v>
      </c>
      <c r="C36" s="1" t="str">
        <f t="shared" si="40"/>
        <v>Minnesota Vikings win by 2 or more</v>
      </c>
      <c r="D36" s="1" t="str">
        <f t="shared" ref="D36:E36" si="41">AG16</f>
        <v>Green Bay Packers + Minnesota Vikings score is 46 or less</v>
      </c>
      <c r="E36" s="1" t="str">
        <f t="shared" si="41"/>
        <v>Green Bay Packers + Minnesota Vikings score is 47 or more</v>
      </c>
      <c r="G36" s="1" t="str">
        <f t="shared" si="18"/>
        <v>Michigan can win a game in regular time, not make-believe time…</v>
      </c>
      <c r="H36" s="1" t="str">
        <f t="shared" si="19"/>
        <v>Michigan can win a game in regular time, not make-believe time…</v>
      </c>
      <c r="I36" s="1" t="str">
        <f t="shared" si="20"/>
        <v>Michigan can win a game in regular time, not make-believe time…</v>
      </c>
      <c r="J36" s="1" t="str">
        <f t="shared" si="21"/>
        <v>Michigan can win a game in regular time, not make-believe time…</v>
      </c>
    </row>
    <row r="37" spans="2:10" x14ac:dyDescent="0.2">
      <c r="B37" s="1" t="str">
        <f t="shared" ref="B37:C37" si="42">AD17</f>
        <v>Washington Commanders win, tie, or Philadelphia Eagles win by 4 or less</v>
      </c>
      <c r="C37" s="1" t="str">
        <f t="shared" si="42"/>
        <v>Philadelphia Eagles win by 5 or more</v>
      </c>
      <c r="D37" s="1" t="str">
        <f t="shared" ref="D37:E37" si="43">AG17</f>
        <v>Washington Commanders + Philadelphia Eagles score is 44 or less</v>
      </c>
      <c r="E37" s="1" t="str">
        <f t="shared" si="43"/>
        <v>Washington Commanders + Philadelphia Eagles score is 45 or more</v>
      </c>
      <c r="G37" s="1" t="str">
        <f t="shared" si="18"/>
        <v>Michigan can win a game in regular time, not make-believe time…</v>
      </c>
      <c r="H37" s="1" t="str">
        <f t="shared" si="19"/>
        <v>Michigan can win a game in regular time, not make-believe time…</v>
      </c>
      <c r="I37" s="1" t="str">
        <f t="shared" si="20"/>
        <v>Michigan can win a game in regular time, not make-believe time…</v>
      </c>
      <c r="J37" s="1" t="str">
        <f t="shared" si="21"/>
        <v>Michigan can win a game in regular time, not make-believe time…</v>
      </c>
    </row>
    <row r="38" spans="2:10" x14ac:dyDescent="0.2">
      <c r="B38" s="1" t="str">
        <f t="shared" ref="B38:C38" si="44">AD18</f>
        <v>Arizona Cardinals win, tie, or Los Angeles Chargers win by 9 or less</v>
      </c>
      <c r="C38" s="1" t="str">
        <f t="shared" si="44"/>
        <v>Los Angeles Chargers win by 11 or more</v>
      </c>
      <c r="D38" s="1" t="str">
        <f t="shared" ref="D38:E38" si="45">AG18</f>
        <v>Arizona Cardinals + Los Angeles Chargers score is 47 or less</v>
      </c>
      <c r="E38" s="1" t="str">
        <f t="shared" si="45"/>
        <v>Arizona Cardinals + Los Angeles Chargers score is 48 or more</v>
      </c>
      <c r="G38" s="1" t="str">
        <f t="shared" si="18"/>
        <v>Los Angeles Chargers win by 10</v>
      </c>
      <c r="H38" s="1" t="str">
        <f t="shared" si="19"/>
        <v>Los Angeles Chargers win by 10</v>
      </c>
      <c r="I38" s="1" t="str">
        <f t="shared" si="20"/>
        <v>Michigan can win a game in regular time, not make-believe time…</v>
      </c>
      <c r="J38" s="1" t="str">
        <f t="shared" si="21"/>
        <v>Michigan can win a game in regular time, not make-believe time…</v>
      </c>
    </row>
    <row r="39" spans="2:10" x14ac:dyDescent="0.2">
      <c r="B39" s="1" t="str">
        <f t="shared" ref="B39:C39" si="46">AD19</f>
        <v>Dallas Cowboys win by 4 or more</v>
      </c>
      <c r="C39" s="1" t="str">
        <f t="shared" si="46"/>
        <v>New York Giants win, tie, or Dallas Cowboys win by 2 or less</v>
      </c>
      <c r="D39" s="1" t="str">
        <f t="shared" ref="D39:E39" si="47">AG19</f>
        <v>Dallas Cowboys + New York Giants score is 48 or less</v>
      </c>
      <c r="E39" s="1" t="str">
        <f t="shared" si="47"/>
        <v>Dallas Cowboys + New York Giants score is 49 or more</v>
      </c>
      <c r="G39" s="1" t="str">
        <f t="shared" si="18"/>
        <v>Dallas Cowboys win by 3</v>
      </c>
      <c r="H39" s="1" t="str">
        <f t="shared" si="19"/>
        <v>Dallas Cowboys win by 3</v>
      </c>
      <c r="I39" s="1" t="str">
        <f t="shared" si="20"/>
        <v>Michigan can win a game in regular time, not make-believe time…</v>
      </c>
      <c r="J39" s="1" t="str">
        <f t="shared" si="21"/>
        <v>Michigan can win a game in regular time, not make-believe time…</v>
      </c>
    </row>
    <row r="40" spans="2:10" x14ac:dyDescent="0.2">
      <c r="B40" s="1" t="str">
        <f t="shared" ref="B40:C40" si="48">AD20</f>
        <v>Denver Broncos win, tie, or Kansas City Chiefs win by 2 or less</v>
      </c>
      <c r="C40" s="1" t="str">
        <f t="shared" si="48"/>
        <v>Kansas City Chiefs win by 4 or more</v>
      </c>
      <c r="D40" s="1" t="str">
        <f t="shared" ref="D40:E40" si="49">AG20</f>
        <v>Denver Broncos + Kansas City Chiefs score is 42 or less</v>
      </c>
      <c r="E40" s="1" t="str">
        <f t="shared" si="49"/>
        <v>Denver Broncos + Kansas City Chiefs score is 43 or more</v>
      </c>
      <c r="G40" s="1" t="str">
        <f t="shared" si="18"/>
        <v>Kansas City Chiefs win by 3</v>
      </c>
      <c r="H40" s="1" t="str">
        <f t="shared" si="19"/>
        <v>Kansas City Chiefs win by 3</v>
      </c>
      <c r="I40" s="1" t="str">
        <f t="shared" si="20"/>
        <v>Michigan can win a game in regular time, not make-believe time…</v>
      </c>
      <c r="J40" s="1" t="str">
        <f t="shared" si="21"/>
        <v>Michigan can win a game in regular time, not make-believe time…</v>
      </c>
    </row>
    <row r="43" spans="2:10" x14ac:dyDescent="0.2">
      <c r="B43" s="1" t="s">
        <v>19</v>
      </c>
    </row>
    <row r="44" spans="2:10" x14ac:dyDescent="0.2">
      <c r="B44" s="1" t="str">
        <f>B24</f>
        <v>Away</v>
      </c>
      <c r="C44" s="1" t="str">
        <f t="shared" ref="C44:E44" si="50">C24</f>
        <v>Home</v>
      </c>
      <c r="D44" s="1" t="str">
        <f t="shared" si="50"/>
        <v>Under</v>
      </c>
      <c r="E44" s="1" t="str">
        <f t="shared" si="50"/>
        <v>Over</v>
      </c>
      <c r="G44" s="1" t="str">
        <f>G24</f>
        <v>Away</v>
      </c>
      <c r="H44" s="1" t="str">
        <f t="shared" ref="H44:J44" si="51">H24</f>
        <v>Home</v>
      </c>
      <c r="I44" s="1" t="str">
        <f t="shared" si="51"/>
        <v>Under</v>
      </c>
      <c r="J44" s="1" t="str">
        <f t="shared" si="51"/>
        <v>Over</v>
      </c>
    </row>
    <row r="45" spans="2:10" x14ac:dyDescent="0.2">
      <c r="B45" s="3">
        <f>IF(ISBLANK(Sheet1!K7),0,1)</f>
        <v>0</v>
      </c>
      <c r="C45" s="3">
        <f>IF(ISBLANK(Sheet1!L7),B45,B45+1)</f>
        <v>0</v>
      </c>
      <c r="D45" s="3">
        <f>IF(ISBLANK(Sheet1!M7),C45,C45+1)</f>
        <v>0</v>
      </c>
      <c r="E45" s="3">
        <f>IF(ISBLANK(Sheet1!N7),D45,D45+1)</f>
        <v>0</v>
      </c>
      <c r="F45" s="3"/>
      <c r="G45" s="3">
        <f>IF(B45=1,1,0)</f>
        <v>0</v>
      </c>
      <c r="H45" s="3">
        <f t="shared" ref="H45:J46" si="52">IF(C45=B45,0,C45)</f>
        <v>0</v>
      </c>
      <c r="I45" s="3">
        <f t="shared" si="52"/>
        <v>0</v>
      </c>
      <c r="J45" s="3">
        <f t="shared" si="52"/>
        <v>0</v>
      </c>
    </row>
    <row r="46" spans="2:10" x14ac:dyDescent="0.2">
      <c r="B46" s="3">
        <f>IF(ISBLANK(Sheet1!K8),E45,E45+1)</f>
        <v>0</v>
      </c>
      <c r="C46" s="3">
        <f>IF(ISBLANK(Sheet1!L8),B46,B46+1)</f>
        <v>0</v>
      </c>
      <c r="D46" s="3">
        <f>IF(ISBLANK(Sheet1!M8),C46,C46+1)</f>
        <v>0</v>
      </c>
      <c r="E46" s="3">
        <f>IF(ISBLANK(Sheet1!N8),D46,D46+1)</f>
        <v>0</v>
      </c>
      <c r="F46" s="3"/>
      <c r="G46" s="3">
        <f>IF(B46=E45,0,B46)</f>
        <v>0</v>
      </c>
      <c r="H46" s="3">
        <f t="shared" si="52"/>
        <v>0</v>
      </c>
      <c r="I46" s="3">
        <f t="shared" si="52"/>
        <v>0</v>
      </c>
      <c r="J46" s="3">
        <f t="shared" si="52"/>
        <v>0</v>
      </c>
    </row>
    <row r="47" spans="2:10" x14ac:dyDescent="0.2">
      <c r="B47" s="3">
        <f>IF(ISBLANK(Sheet1!K9),E46,E46+1)</f>
        <v>0</v>
      </c>
      <c r="C47" s="3">
        <f>IF(ISBLANK(Sheet1!L9),B47,B47+1)</f>
        <v>0</v>
      </c>
      <c r="D47" s="3">
        <f>IF(ISBLANK(Sheet1!M9),C47,C47+1)</f>
        <v>0</v>
      </c>
      <c r="E47" s="3">
        <f>IF(ISBLANK(Sheet1!N9),D47,D47+1)</f>
        <v>0</v>
      </c>
      <c r="F47" s="3"/>
      <c r="G47" s="3">
        <f t="shared" ref="G47:G60" si="53">IF(B47=E46,0,B47)</f>
        <v>0</v>
      </c>
      <c r="H47" s="3">
        <f t="shared" ref="H47:H60" si="54">IF(C47=B47,0,C47)</f>
        <v>0</v>
      </c>
      <c r="I47" s="3">
        <f t="shared" ref="I47:I60" si="55">IF(D47=C47,0,D47)</f>
        <v>0</v>
      </c>
      <c r="J47" s="3">
        <f t="shared" ref="J47:J60" si="56">IF(E47=D47,0,E47)</f>
        <v>0</v>
      </c>
    </row>
    <row r="48" spans="2:10" x14ac:dyDescent="0.2">
      <c r="B48" s="3">
        <f>IF(ISBLANK(Sheet1!K10),E47,E47+1)</f>
        <v>0</v>
      </c>
      <c r="C48" s="3">
        <f>IF(ISBLANK(Sheet1!L10),B48,B48+1)</f>
        <v>0</v>
      </c>
      <c r="D48" s="3">
        <f>IF(ISBLANK(Sheet1!M10),C48,C48+1)</f>
        <v>0</v>
      </c>
      <c r="E48" s="3">
        <f>IF(ISBLANK(Sheet1!N10),D48,D48+1)</f>
        <v>0</v>
      </c>
      <c r="F48" s="3"/>
      <c r="G48" s="3">
        <f t="shared" si="53"/>
        <v>0</v>
      </c>
      <c r="H48" s="3">
        <f t="shared" si="54"/>
        <v>0</v>
      </c>
      <c r="I48" s="3">
        <f t="shared" si="55"/>
        <v>0</v>
      </c>
      <c r="J48" s="3">
        <f t="shared" si="56"/>
        <v>0</v>
      </c>
    </row>
    <row r="49" spans="2:11" x14ac:dyDescent="0.2">
      <c r="B49" s="3">
        <f>IF(ISBLANK(Sheet1!K11),E48,E48+1)</f>
        <v>0</v>
      </c>
      <c r="C49" s="3">
        <f>IF(ISBLANK(Sheet1!L11),B49,B49+1)</f>
        <v>0</v>
      </c>
      <c r="D49" s="3">
        <f>IF(ISBLANK(Sheet1!M11),C49,C49+1)</f>
        <v>0</v>
      </c>
      <c r="E49" s="3">
        <f>IF(ISBLANK(Sheet1!N11),D49,D49+1)</f>
        <v>0</v>
      </c>
      <c r="F49" s="3"/>
      <c r="G49" s="3">
        <f t="shared" si="53"/>
        <v>0</v>
      </c>
      <c r="H49" s="3">
        <f t="shared" si="54"/>
        <v>0</v>
      </c>
      <c r="I49" s="3">
        <f t="shared" si="55"/>
        <v>0</v>
      </c>
      <c r="J49" s="3">
        <f t="shared" si="56"/>
        <v>0</v>
      </c>
    </row>
    <row r="50" spans="2:11" x14ac:dyDescent="0.2">
      <c r="B50" s="3">
        <f>IF(ISBLANK(Sheet1!K12),E49,E49+1)</f>
        <v>0</v>
      </c>
      <c r="C50" s="3">
        <f>IF(ISBLANK(Sheet1!L12),B50,B50+1)</f>
        <v>0</v>
      </c>
      <c r="D50" s="3">
        <f>IF(ISBLANK(Sheet1!M12),C50,C50+1)</f>
        <v>0</v>
      </c>
      <c r="E50" s="3">
        <f>IF(ISBLANK(Sheet1!N12),D50,D50+1)</f>
        <v>0</v>
      </c>
      <c r="F50" s="3"/>
      <c r="G50" s="3">
        <f t="shared" si="53"/>
        <v>0</v>
      </c>
      <c r="H50" s="3">
        <f t="shared" si="54"/>
        <v>0</v>
      </c>
      <c r="I50" s="3">
        <f t="shared" si="55"/>
        <v>0</v>
      </c>
      <c r="J50" s="3">
        <f t="shared" si="56"/>
        <v>0</v>
      </c>
    </row>
    <row r="51" spans="2:11" x14ac:dyDescent="0.2">
      <c r="B51" s="3">
        <f>IF(ISBLANK(Sheet1!K13),E50,E50+1)</f>
        <v>0</v>
      </c>
      <c r="C51" s="3">
        <f>IF(ISBLANK(Sheet1!L13),B51,B51+1)</f>
        <v>0</v>
      </c>
      <c r="D51" s="3">
        <f>IF(ISBLANK(Sheet1!M13),C51,C51+1)</f>
        <v>0</v>
      </c>
      <c r="E51" s="3">
        <f>IF(ISBLANK(Sheet1!N13),D51,D51+1)</f>
        <v>0</v>
      </c>
      <c r="F51" s="3"/>
      <c r="G51" s="3">
        <f t="shared" si="53"/>
        <v>0</v>
      </c>
      <c r="H51" s="3">
        <f t="shared" si="54"/>
        <v>0</v>
      </c>
      <c r="I51" s="3">
        <f t="shared" si="55"/>
        <v>0</v>
      </c>
      <c r="J51" s="3">
        <f t="shared" si="56"/>
        <v>0</v>
      </c>
    </row>
    <row r="52" spans="2:11" x14ac:dyDescent="0.2">
      <c r="B52" s="3">
        <f>IF(ISBLANK(Sheet1!K14),E51,E51+1)</f>
        <v>0</v>
      </c>
      <c r="C52" s="3">
        <f>IF(ISBLANK(Sheet1!L14),B52,B52+1)</f>
        <v>0</v>
      </c>
      <c r="D52" s="3">
        <f>IF(ISBLANK(Sheet1!M14),C52,C52+1)</f>
        <v>0</v>
      </c>
      <c r="E52" s="3">
        <f>IF(ISBLANK(Sheet1!N14),D52,D52+1)</f>
        <v>0</v>
      </c>
      <c r="F52" s="3"/>
      <c r="G52" s="3">
        <f t="shared" si="53"/>
        <v>0</v>
      </c>
      <c r="H52" s="3">
        <f t="shared" si="54"/>
        <v>0</v>
      </c>
      <c r="I52" s="3">
        <f t="shared" si="55"/>
        <v>0</v>
      </c>
      <c r="J52" s="3">
        <f t="shared" si="56"/>
        <v>0</v>
      </c>
    </row>
    <row r="53" spans="2:11" x14ac:dyDescent="0.2">
      <c r="B53" s="3">
        <f>IF(ISBLANK(Sheet1!K15),E52,E52+1)</f>
        <v>0</v>
      </c>
      <c r="C53" s="3">
        <f>IF(ISBLANK(Sheet1!L15),B53,B53+1)</f>
        <v>0</v>
      </c>
      <c r="D53" s="3">
        <f>IF(ISBLANK(Sheet1!M15),C53,C53+1)</f>
        <v>0</v>
      </c>
      <c r="E53" s="3">
        <f>IF(ISBLANK(Sheet1!N15),D53,D53+1)</f>
        <v>0</v>
      </c>
      <c r="F53" s="3"/>
      <c r="G53" s="3">
        <f t="shared" si="53"/>
        <v>0</v>
      </c>
      <c r="H53" s="3">
        <f t="shared" si="54"/>
        <v>0</v>
      </c>
      <c r="I53" s="3">
        <f t="shared" si="55"/>
        <v>0</v>
      </c>
      <c r="J53" s="3">
        <f t="shared" si="56"/>
        <v>0</v>
      </c>
    </row>
    <row r="54" spans="2:11" x14ac:dyDescent="0.2">
      <c r="B54" s="3">
        <f>IF(ISBLANK(Sheet1!K16),E53,E53+1)</f>
        <v>0</v>
      </c>
      <c r="C54" s="3">
        <f>IF(ISBLANK(Sheet1!L16),B54,B54+1)</f>
        <v>0</v>
      </c>
      <c r="D54" s="3">
        <f>IF(ISBLANK(Sheet1!M16),C54,C54+1)</f>
        <v>0</v>
      </c>
      <c r="E54" s="3">
        <f>IF(ISBLANK(Sheet1!N16),D54,D54+1)</f>
        <v>0</v>
      </c>
      <c r="F54" s="3"/>
      <c r="G54" s="3">
        <f t="shared" si="53"/>
        <v>0</v>
      </c>
      <c r="H54" s="3">
        <f t="shared" si="54"/>
        <v>0</v>
      </c>
      <c r="I54" s="3">
        <f t="shared" si="55"/>
        <v>0</v>
      </c>
      <c r="J54" s="3">
        <f t="shared" si="56"/>
        <v>0</v>
      </c>
    </row>
    <row r="55" spans="2:11" x14ac:dyDescent="0.2">
      <c r="B55" s="3">
        <f>IF(ISBLANK(Sheet1!K17),E54,E54+1)</f>
        <v>0</v>
      </c>
      <c r="C55" s="3">
        <f>IF(ISBLANK(Sheet1!L17),B55,B55+1)</f>
        <v>0</v>
      </c>
      <c r="D55" s="3">
        <f>IF(ISBLANK(Sheet1!M17),C55,C55+1)</f>
        <v>0</v>
      </c>
      <c r="E55" s="3">
        <f>IF(ISBLANK(Sheet1!N17),D55,D55+1)</f>
        <v>0</v>
      </c>
      <c r="F55" s="3"/>
      <c r="G55" s="3">
        <f t="shared" si="53"/>
        <v>0</v>
      </c>
      <c r="H55" s="3">
        <f t="shared" si="54"/>
        <v>0</v>
      </c>
      <c r="I55" s="3">
        <f t="shared" si="55"/>
        <v>0</v>
      </c>
      <c r="J55" s="3">
        <f t="shared" si="56"/>
        <v>0</v>
      </c>
    </row>
    <row r="56" spans="2:11" x14ac:dyDescent="0.2">
      <c r="B56" s="3">
        <f>IF(ISBLANK(Sheet1!K18),E55,E55+1)</f>
        <v>0</v>
      </c>
      <c r="C56" s="3">
        <f>IF(ISBLANK(Sheet1!L18),B56,B56+1)</f>
        <v>0</v>
      </c>
      <c r="D56" s="3">
        <f>IF(ISBLANK(Sheet1!M18),C56,C56+1)</f>
        <v>0</v>
      </c>
      <c r="E56" s="3">
        <f>IF(ISBLANK(Sheet1!N18),D56,D56+1)</f>
        <v>0</v>
      </c>
      <c r="F56" s="3"/>
      <c r="G56" s="3">
        <f t="shared" si="53"/>
        <v>0</v>
      </c>
      <c r="H56" s="3">
        <f t="shared" si="54"/>
        <v>0</v>
      </c>
      <c r="I56" s="3">
        <f t="shared" si="55"/>
        <v>0</v>
      </c>
      <c r="J56" s="3">
        <f t="shared" si="56"/>
        <v>0</v>
      </c>
    </row>
    <row r="57" spans="2:11" x14ac:dyDescent="0.2">
      <c r="B57" s="3">
        <f>IF(ISBLANK(Sheet1!K19),E56,E56+1)</f>
        <v>0</v>
      </c>
      <c r="C57" s="3">
        <f>IF(ISBLANK(Sheet1!L19),B57,B57+1)</f>
        <v>0</v>
      </c>
      <c r="D57" s="3">
        <f>IF(ISBLANK(Sheet1!M19),C57,C57+1)</f>
        <v>0</v>
      </c>
      <c r="E57" s="3">
        <f>IF(ISBLANK(Sheet1!N19),D57,D57+1)</f>
        <v>0</v>
      </c>
      <c r="F57" s="3"/>
      <c r="G57" s="3">
        <f t="shared" si="53"/>
        <v>0</v>
      </c>
      <c r="H57" s="3">
        <f t="shared" si="54"/>
        <v>0</v>
      </c>
      <c r="I57" s="3">
        <f t="shared" si="55"/>
        <v>0</v>
      </c>
      <c r="J57" s="3">
        <f t="shared" si="56"/>
        <v>0</v>
      </c>
    </row>
    <row r="58" spans="2:11" x14ac:dyDescent="0.2">
      <c r="B58" s="3">
        <f>IF(ISBLANK(Sheet1!K20),E57,E57+1)</f>
        <v>0</v>
      </c>
      <c r="C58" s="3">
        <f>IF(ISBLANK(Sheet1!L20),B58,B58+1)</f>
        <v>0</v>
      </c>
      <c r="D58" s="3">
        <f>IF(ISBLANK(Sheet1!M20),C58,C58+1)</f>
        <v>0</v>
      </c>
      <c r="E58" s="3">
        <f>IF(ISBLANK(Sheet1!N20),D58,D58+1)</f>
        <v>0</v>
      </c>
      <c r="F58" s="3"/>
      <c r="G58" s="3">
        <f t="shared" si="53"/>
        <v>0</v>
      </c>
      <c r="H58" s="3">
        <f t="shared" si="54"/>
        <v>0</v>
      </c>
      <c r="I58" s="3">
        <f t="shared" si="55"/>
        <v>0</v>
      </c>
      <c r="J58" s="3">
        <f t="shared" si="56"/>
        <v>0</v>
      </c>
    </row>
    <row r="59" spans="2:11" x14ac:dyDescent="0.2">
      <c r="B59" s="3">
        <f>IF(ISBLANK(Sheet1!K21),E58,E58+1)</f>
        <v>0</v>
      </c>
      <c r="C59" s="3">
        <f>IF(ISBLANK(Sheet1!L21),B59,B59+1)</f>
        <v>0</v>
      </c>
      <c r="D59" s="3">
        <f>IF(ISBLANK(Sheet1!M21),C59,C59+1)</f>
        <v>0</v>
      </c>
      <c r="E59" s="3">
        <f>IF(ISBLANK(Sheet1!N21),D59,D59+1)</f>
        <v>0</v>
      </c>
      <c r="F59" s="3"/>
      <c r="G59" s="3">
        <f t="shared" si="53"/>
        <v>0</v>
      </c>
      <c r="H59" s="3">
        <f t="shared" si="54"/>
        <v>0</v>
      </c>
      <c r="I59" s="3">
        <f t="shared" si="55"/>
        <v>0</v>
      </c>
      <c r="J59" s="3">
        <f t="shared" si="56"/>
        <v>0</v>
      </c>
    </row>
    <row r="60" spans="2:11" x14ac:dyDescent="0.2">
      <c r="B60" s="3">
        <f>IF(ISBLANK(Sheet1!K22),E59,E59+1)</f>
        <v>0</v>
      </c>
      <c r="C60" s="3">
        <f>IF(ISBLANK(Sheet1!L22),B60,B60+1)</f>
        <v>0</v>
      </c>
      <c r="D60" s="3">
        <f>IF(ISBLANK(Sheet1!M22),C60,C60+1)</f>
        <v>0</v>
      </c>
      <c r="E60" s="3">
        <f>IF(ISBLANK(Sheet1!N22),D60,D60+1)</f>
        <v>0</v>
      </c>
      <c r="F60" s="3"/>
      <c r="G60" s="3">
        <f t="shared" si="53"/>
        <v>0</v>
      </c>
      <c r="H60" s="3">
        <f t="shared" si="54"/>
        <v>0</v>
      </c>
      <c r="I60" s="3">
        <f t="shared" si="55"/>
        <v>0</v>
      </c>
      <c r="J60" s="3">
        <f t="shared" si="56"/>
        <v>0</v>
      </c>
    </row>
    <row r="63" spans="2:11" x14ac:dyDescent="0.2">
      <c r="B63" s="1" t="s">
        <v>20</v>
      </c>
    </row>
    <row r="64" spans="2:11" x14ac:dyDescent="0.2">
      <c r="B64" s="1" t="s">
        <v>22</v>
      </c>
      <c r="C64" s="1" t="s">
        <v>21</v>
      </c>
      <c r="D64" s="1" t="s">
        <v>23</v>
      </c>
      <c r="E64" s="1" t="s">
        <v>24</v>
      </c>
      <c r="F64" s="1" t="s">
        <v>25</v>
      </c>
      <c r="J64" s="1" t="s">
        <v>24</v>
      </c>
      <c r="K64" s="1" t="s">
        <v>25</v>
      </c>
    </row>
    <row r="65" spans="2:11" x14ac:dyDescent="0.2">
      <c r="B65" s="3">
        <v>1</v>
      </c>
      <c r="C65" s="3">
        <v>1</v>
      </c>
      <c r="D65" s="3">
        <f ca="1">OFFSET($G$45,$B65-1,$C65-1)</f>
        <v>0</v>
      </c>
      <c r="E65" s="3" t="str">
        <f ca="1">OFFSET($B$25,$B65-1,$C65-1)</f>
        <v>New England Patriots win, tie, or Seattle Seahawks win by 3 or less</v>
      </c>
      <c r="F65" s="3" t="str">
        <f ca="1">OFFSET($G$25,$B65-1,$C65-1)</f>
        <v>Michigan can win a game in regular time, not make-believe time…</v>
      </c>
      <c r="G65" s="1" t="str">
        <f t="shared" ref="G65:G105" ca="1" si="57">IF(OR(D65=1,D65=2,D65=3,D65=4,D65=5),TEXT((B65-1)*4+C65,"00")&amp;",",IF(D65=6,TEXT((B65-1)*4+C65,"00"),""))</f>
        <v/>
      </c>
      <c r="I65" s="1">
        <v>1</v>
      </c>
      <c r="J65" s="1" t="e">
        <f ca="1">VLOOKUP(I65,$D$65:$F$128,2,0)</f>
        <v>#N/A</v>
      </c>
      <c r="K65" s="1" t="e">
        <f ca="1">VLOOKUP(I65,$D$65:$F$128,3,0)</f>
        <v>#N/A</v>
      </c>
    </row>
    <row r="66" spans="2:11" x14ac:dyDescent="0.2">
      <c r="B66" s="3">
        <f>B65</f>
        <v>1</v>
      </c>
      <c r="C66" s="3">
        <f>C65+1</f>
        <v>2</v>
      </c>
      <c r="D66" s="3">
        <f t="shared" ref="D66:D128" ca="1" si="58">OFFSET($G$45,$B66-1,$C66-1)</f>
        <v>0</v>
      </c>
      <c r="E66" s="3" t="str">
        <f t="shared" ref="E66:E128" ca="1" si="59">OFFSET($B$25,$B66-1,$C66-1)</f>
        <v>Seattle Seahawks win by 4 or more</v>
      </c>
      <c r="F66" s="3" t="str">
        <f t="shared" ref="F66:F128" ca="1" si="60">OFFSET($G$25,$B66-1,$C66-1)</f>
        <v>Michigan can win a game in regular time, not make-believe time…</v>
      </c>
      <c r="G66" s="1" t="str">
        <f t="shared" ca="1" si="57"/>
        <v/>
      </c>
      <c r="I66" s="1">
        <v>2</v>
      </c>
      <c r="J66" s="1" t="e">
        <f t="shared" ref="J66:J70" ca="1" si="61">VLOOKUP(I66,$D$65:$F$128,2,0)</f>
        <v>#N/A</v>
      </c>
      <c r="K66" s="1" t="e">
        <f t="shared" ref="K66:K70" ca="1" si="62">VLOOKUP(I66,$D$65:$F$128,3,0)</f>
        <v>#N/A</v>
      </c>
    </row>
    <row r="67" spans="2:11" x14ac:dyDescent="0.2">
      <c r="B67" s="3">
        <f>B66</f>
        <v>1</v>
      </c>
      <c r="C67" s="3">
        <f>C66+1</f>
        <v>3</v>
      </c>
      <c r="D67" s="3">
        <f t="shared" ca="1" si="58"/>
        <v>0</v>
      </c>
      <c r="E67" s="3" t="str">
        <f t="shared" ca="1" si="59"/>
        <v>New England Patriots + Seattle Seahawks score is 44 or less</v>
      </c>
      <c r="F67" s="3" t="str">
        <f t="shared" ca="1" si="60"/>
        <v>Michigan can win a game in regular time, not make-believe time…</v>
      </c>
      <c r="G67" s="1" t="str">
        <f t="shared" ca="1" si="57"/>
        <v/>
      </c>
      <c r="I67" s="1">
        <v>3</v>
      </c>
      <c r="J67" s="1" t="e">
        <f t="shared" ca="1" si="61"/>
        <v>#N/A</v>
      </c>
      <c r="K67" s="1" t="e">
        <f t="shared" ca="1" si="62"/>
        <v>#N/A</v>
      </c>
    </row>
    <row r="68" spans="2:11" x14ac:dyDescent="0.2">
      <c r="B68" s="3">
        <f>B67</f>
        <v>1</v>
      </c>
      <c r="C68" s="3">
        <f>C67+1</f>
        <v>4</v>
      </c>
      <c r="D68" s="3">
        <f t="shared" ca="1" si="58"/>
        <v>0</v>
      </c>
      <c r="E68" s="3" t="str">
        <f t="shared" ca="1" si="59"/>
        <v>New England Patriots + Seattle Seahawks score is 45 or more</v>
      </c>
      <c r="F68" s="3" t="str">
        <f t="shared" ca="1" si="60"/>
        <v>Michigan can win a game in regular time, not make-believe time…</v>
      </c>
      <c r="G68" s="1" t="str">
        <f t="shared" ca="1" si="57"/>
        <v/>
      </c>
      <c r="I68" s="1">
        <v>4</v>
      </c>
      <c r="J68" s="1" t="e">
        <f t="shared" ca="1" si="61"/>
        <v>#N/A</v>
      </c>
      <c r="K68" s="1" t="e">
        <f t="shared" ca="1" si="62"/>
        <v>#N/A</v>
      </c>
    </row>
    <row r="69" spans="2:11" x14ac:dyDescent="0.2">
      <c r="B69" s="3">
        <f>B65+1</f>
        <v>2</v>
      </c>
      <c r="C69" s="3">
        <f>C65</f>
        <v>1</v>
      </c>
      <c r="D69" s="3">
        <f t="shared" ca="1" si="58"/>
        <v>0</v>
      </c>
      <c r="E69" s="3" t="str">
        <f t="shared" ca="1" si="59"/>
        <v>San Francisco 49ers win, tie, or Los Angeles Rams win by 3 or less</v>
      </c>
      <c r="F69" s="3" t="str">
        <f t="shared" ca="1" si="60"/>
        <v>Michigan can win a game in regular time, not make-believe time…</v>
      </c>
      <c r="G69" s="1" t="str">
        <f t="shared" ca="1" si="57"/>
        <v/>
      </c>
      <c r="I69" s="1">
        <v>5</v>
      </c>
      <c r="J69" s="1" t="e">
        <f t="shared" ca="1" si="61"/>
        <v>#N/A</v>
      </c>
      <c r="K69" s="1" t="e">
        <f t="shared" ca="1" si="62"/>
        <v>#N/A</v>
      </c>
    </row>
    <row r="70" spans="2:11" x14ac:dyDescent="0.2">
      <c r="B70" s="3">
        <f t="shared" ref="B70:B128" si="63">B66+1</f>
        <v>2</v>
      </c>
      <c r="C70" s="3">
        <f t="shared" ref="C70:C128" si="64">C66</f>
        <v>2</v>
      </c>
      <c r="D70" s="3">
        <f t="shared" ca="1" si="58"/>
        <v>0</v>
      </c>
      <c r="E70" s="3" t="str">
        <f t="shared" ca="1" si="59"/>
        <v>Los Angeles Rams win by 4 or more</v>
      </c>
      <c r="F70" s="3" t="str">
        <f t="shared" ca="1" si="60"/>
        <v>Michigan can win a game in regular time, not make-believe time…</v>
      </c>
      <c r="G70" s="1" t="str">
        <f t="shared" ca="1" si="57"/>
        <v/>
      </c>
      <c r="I70" s="1">
        <v>6</v>
      </c>
      <c r="J70" s="1" t="e">
        <f t="shared" ca="1" si="61"/>
        <v>#N/A</v>
      </c>
      <c r="K70" s="1" t="e">
        <f t="shared" ca="1" si="62"/>
        <v>#N/A</v>
      </c>
    </row>
    <row r="71" spans="2:11" x14ac:dyDescent="0.2">
      <c r="B71" s="3">
        <f t="shared" si="63"/>
        <v>2</v>
      </c>
      <c r="C71" s="3">
        <f t="shared" si="64"/>
        <v>3</v>
      </c>
      <c r="D71" s="3">
        <f t="shared" ca="1" si="58"/>
        <v>0</v>
      </c>
      <c r="E71" s="3" t="str">
        <f t="shared" ca="1" si="59"/>
        <v>San Francisco 49ers + Los Angeles Rams score is 48 or less</v>
      </c>
      <c r="F71" s="3" t="str">
        <f t="shared" ca="1" si="60"/>
        <v>Michigan can win a game in regular time, not make-believe time…</v>
      </c>
      <c r="G71" s="1" t="str">
        <f t="shared" ca="1" si="57"/>
        <v/>
      </c>
    </row>
    <row r="72" spans="2:11" x14ac:dyDescent="0.2">
      <c r="B72" s="3">
        <f t="shared" si="63"/>
        <v>2</v>
      </c>
      <c r="C72" s="3">
        <f t="shared" si="64"/>
        <v>4</v>
      </c>
      <c r="D72" s="3">
        <f t="shared" ca="1" si="58"/>
        <v>0</v>
      </c>
      <c r="E72" s="3" t="str">
        <f t="shared" ca="1" si="59"/>
        <v>San Francisco 49ers + Los Angeles Rams score is 49 or more</v>
      </c>
      <c r="F72" s="3" t="str">
        <f t="shared" ca="1" si="60"/>
        <v>Michigan can win a game in regular time, not make-believe time…</v>
      </c>
      <c r="G72" s="1" t="str">
        <f t="shared" ca="1" si="57"/>
        <v/>
      </c>
    </row>
    <row r="73" spans="2:11" x14ac:dyDescent="0.2">
      <c r="B73" s="3">
        <f t="shared" si="63"/>
        <v>3</v>
      </c>
      <c r="C73" s="3">
        <f t="shared" si="64"/>
        <v>1</v>
      </c>
      <c r="D73" s="3">
        <f t="shared" ca="1" si="58"/>
        <v>0</v>
      </c>
      <c r="E73" s="3" t="str">
        <f t="shared" ca="1" si="59"/>
        <v>Tampa Bay Buccaneers win, tie, or Cincinnati Bengals win by 3 or less</v>
      </c>
      <c r="F73" s="3" t="str">
        <f t="shared" ca="1" si="60"/>
        <v>Michigan can win a game in regular time, not make-believe time…</v>
      </c>
      <c r="G73" s="1" t="str">
        <f t="shared" ca="1" si="57"/>
        <v/>
      </c>
    </row>
    <row r="74" spans="2:11" x14ac:dyDescent="0.2">
      <c r="B74" s="3">
        <f t="shared" si="63"/>
        <v>3</v>
      </c>
      <c r="C74" s="3">
        <f t="shared" si="64"/>
        <v>2</v>
      </c>
      <c r="D74" s="3">
        <f t="shared" ca="1" si="58"/>
        <v>0</v>
      </c>
      <c r="E74" s="3" t="str">
        <f t="shared" ca="1" si="59"/>
        <v>Cincinnati Bengals win by 4 or more</v>
      </c>
      <c r="F74" s="3" t="str">
        <f t="shared" ca="1" si="60"/>
        <v>Michigan can win a game in regular time, not make-believe time…</v>
      </c>
      <c r="G74" s="1" t="str">
        <f t="shared" ca="1" si="57"/>
        <v/>
      </c>
    </row>
    <row r="75" spans="2:11" x14ac:dyDescent="0.2">
      <c r="B75" s="3">
        <f t="shared" si="63"/>
        <v>3</v>
      </c>
      <c r="C75" s="3">
        <f t="shared" si="64"/>
        <v>3</v>
      </c>
      <c r="D75" s="3">
        <f t="shared" ca="1" si="58"/>
        <v>0</v>
      </c>
      <c r="E75" s="3" t="str">
        <f t="shared" ca="1" si="59"/>
        <v>Tampa Bay Buccaneers + Cincinnati Bengals score is 50 or less</v>
      </c>
      <c r="F75" s="3" t="str">
        <f t="shared" ca="1" si="60"/>
        <v>Michigan can win a game in regular time, not make-believe time…</v>
      </c>
      <c r="G75" s="1" t="str">
        <f t="shared" ca="1" si="57"/>
        <v/>
      </c>
    </row>
    <row r="76" spans="2:11" x14ac:dyDescent="0.2">
      <c r="B76" s="3">
        <f t="shared" si="63"/>
        <v>3</v>
      </c>
      <c r="C76" s="3">
        <f t="shared" si="64"/>
        <v>4</v>
      </c>
      <c r="D76" s="3">
        <f t="shared" ca="1" si="58"/>
        <v>0</v>
      </c>
      <c r="E76" s="3" t="str">
        <f t="shared" ca="1" si="59"/>
        <v>Tampa Bay Buccaneers + Cincinnati Bengals score is 51 or more</v>
      </c>
      <c r="F76" s="3" t="str">
        <f t="shared" ca="1" si="60"/>
        <v>Michigan can win a game in regular time, not make-believe time…</v>
      </c>
      <c r="G76" s="1" t="str">
        <f t="shared" ca="1" si="57"/>
        <v/>
      </c>
    </row>
    <row r="77" spans="2:11" x14ac:dyDescent="0.2">
      <c r="B77" s="3">
        <f t="shared" si="63"/>
        <v>4</v>
      </c>
      <c r="C77" s="3">
        <f t="shared" si="64"/>
        <v>1</v>
      </c>
      <c r="D77" s="3">
        <f t="shared" ca="1" si="58"/>
        <v>0</v>
      </c>
      <c r="E77" s="3" t="str">
        <f t="shared" ca="1" si="59"/>
        <v>New Orleans Saints win, tie, or Detroit Lions win by 6 or less</v>
      </c>
      <c r="F77" s="3" t="str">
        <f t="shared" ca="1" si="60"/>
        <v>Detroit Lions win by 7</v>
      </c>
      <c r="G77" s="1" t="str">
        <f t="shared" ca="1" si="57"/>
        <v/>
      </c>
    </row>
    <row r="78" spans="2:11" x14ac:dyDescent="0.2">
      <c r="B78" s="3">
        <f t="shared" si="63"/>
        <v>4</v>
      </c>
      <c r="C78" s="3">
        <f t="shared" si="64"/>
        <v>2</v>
      </c>
      <c r="D78" s="3">
        <f t="shared" ca="1" si="58"/>
        <v>0</v>
      </c>
      <c r="E78" s="3" t="str">
        <f t="shared" ca="1" si="59"/>
        <v>Detroit Lions win by 8 or more</v>
      </c>
      <c r="F78" s="3" t="str">
        <f t="shared" ca="1" si="60"/>
        <v>Detroit Lions win by 7</v>
      </c>
      <c r="G78" s="1" t="str">
        <f t="shared" ca="1" si="57"/>
        <v/>
      </c>
    </row>
    <row r="79" spans="2:11" x14ac:dyDescent="0.2">
      <c r="B79" s="3">
        <f t="shared" si="63"/>
        <v>4</v>
      </c>
      <c r="C79" s="3">
        <f t="shared" si="64"/>
        <v>3</v>
      </c>
      <c r="D79" s="3">
        <f t="shared" ca="1" si="58"/>
        <v>0</v>
      </c>
      <c r="E79" s="3" t="str">
        <f t="shared" ca="1" si="59"/>
        <v>New Orleans Saints + Detroit Lions score is 49 or less</v>
      </c>
      <c r="F79" s="3" t="str">
        <f t="shared" ca="1" si="60"/>
        <v>Michigan can win a game in regular time, not make-believe time…</v>
      </c>
      <c r="G79" s="1" t="str">
        <f t="shared" ca="1" si="57"/>
        <v/>
      </c>
    </row>
    <row r="80" spans="2:11" x14ac:dyDescent="0.2">
      <c r="B80" s="3">
        <f t="shared" si="63"/>
        <v>4</v>
      </c>
      <c r="C80" s="3">
        <f t="shared" si="64"/>
        <v>4</v>
      </c>
      <c r="D80" s="3">
        <f t="shared" ca="1" si="58"/>
        <v>0</v>
      </c>
      <c r="E80" s="3" t="str">
        <f t="shared" ca="1" si="59"/>
        <v>New Orleans Saints + Detroit Lions score is 50 or more</v>
      </c>
      <c r="F80" s="3" t="str">
        <f t="shared" ca="1" si="60"/>
        <v>Michigan can win a game in regular time, not make-believe time…</v>
      </c>
      <c r="G80" s="1" t="str">
        <f t="shared" ca="1" si="57"/>
        <v/>
      </c>
    </row>
    <row r="81" spans="2:7" x14ac:dyDescent="0.2">
      <c r="B81" s="3">
        <f t="shared" si="63"/>
        <v>5</v>
      </c>
      <c r="C81" s="3">
        <f t="shared" si="64"/>
        <v>1</v>
      </c>
      <c r="D81" s="3">
        <f t="shared" ca="1" si="58"/>
        <v>0</v>
      </c>
      <c r="E81" s="3" t="str">
        <f t="shared" ca="1" si="59"/>
        <v>New York Jets win, tie, or Tennessee Titans win by 1</v>
      </c>
      <c r="F81" s="3" t="str">
        <f t="shared" ca="1" si="60"/>
        <v>Michigan can win a game in regular time, not make-believe time…</v>
      </c>
      <c r="G81" s="1" t="str">
        <f t="shared" ca="1" si="57"/>
        <v/>
      </c>
    </row>
    <row r="82" spans="2:7" x14ac:dyDescent="0.2">
      <c r="B82" s="3">
        <f t="shared" si="63"/>
        <v>5</v>
      </c>
      <c r="C82" s="3">
        <f t="shared" si="64"/>
        <v>2</v>
      </c>
      <c r="D82" s="3">
        <f t="shared" ca="1" si="58"/>
        <v>0</v>
      </c>
      <c r="E82" s="3" t="str">
        <f t="shared" ca="1" si="59"/>
        <v>Tennessee Titans win by 2 or more</v>
      </c>
      <c r="F82" s="3" t="str">
        <f t="shared" ca="1" si="60"/>
        <v>Michigan can win a game in regular time, not make-believe time…</v>
      </c>
      <c r="G82" s="1" t="str">
        <f t="shared" ca="1" si="57"/>
        <v/>
      </c>
    </row>
    <row r="83" spans="2:7" x14ac:dyDescent="0.2">
      <c r="B83" s="3">
        <f t="shared" si="63"/>
        <v>5</v>
      </c>
      <c r="C83" s="3">
        <f t="shared" si="64"/>
        <v>3</v>
      </c>
      <c r="D83" s="3">
        <f t="shared" ca="1" si="58"/>
        <v>0</v>
      </c>
      <c r="E83" s="3" t="str">
        <f t="shared" ca="1" si="59"/>
        <v>New York Jets + Tennessee Titans score is 39 or less</v>
      </c>
      <c r="F83" s="3" t="str">
        <f t="shared" ca="1" si="60"/>
        <v>Michigan can win a game in regular time, not make-believe time…</v>
      </c>
      <c r="G83" s="1" t="str">
        <f t="shared" ca="1" si="57"/>
        <v/>
      </c>
    </row>
    <row r="84" spans="2:7" x14ac:dyDescent="0.2">
      <c r="B84" s="3">
        <f t="shared" si="63"/>
        <v>5</v>
      </c>
      <c r="C84" s="3">
        <f t="shared" si="64"/>
        <v>4</v>
      </c>
      <c r="D84" s="3">
        <f t="shared" ca="1" si="58"/>
        <v>0</v>
      </c>
      <c r="E84" s="3" t="str">
        <f t="shared" ca="1" si="59"/>
        <v>New York Jets + Tennessee Titans score is 40 or more</v>
      </c>
      <c r="F84" s="3" t="str">
        <f t="shared" ca="1" si="60"/>
        <v>Michigan can win a game in regular time, not make-believe time…</v>
      </c>
      <c r="G84" s="1" t="str">
        <f t="shared" ca="1" si="57"/>
        <v/>
      </c>
    </row>
    <row r="85" spans="2:7" x14ac:dyDescent="0.2">
      <c r="B85" s="3">
        <f t="shared" si="63"/>
        <v>6</v>
      </c>
      <c r="C85" s="3">
        <f t="shared" si="64"/>
        <v>1</v>
      </c>
      <c r="D85" s="3">
        <f t="shared" ca="1" si="58"/>
        <v>0</v>
      </c>
      <c r="E85" s="3" t="str">
        <f t="shared" ca="1" si="59"/>
        <v>Baltimore Ravens win by 4 or more</v>
      </c>
      <c r="F85" s="3" t="str">
        <f t="shared" ca="1" si="60"/>
        <v>Baltimore Ravens win by 3</v>
      </c>
      <c r="G85" s="1" t="str">
        <f t="shared" ca="1" si="57"/>
        <v/>
      </c>
    </row>
    <row r="86" spans="2:7" x14ac:dyDescent="0.2">
      <c r="B86" s="3">
        <f t="shared" si="63"/>
        <v>6</v>
      </c>
      <c r="C86" s="3">
        <f t="shared" si="64"/>
        <v>2</v>
      </c>
      <c r="D86" s="3">
        <f t="shared" ca="1" si="58"/>
        <v>0</v>
      </c>
      <c r="E86" s="3" t="str">
        <f t="shared" ca="1" si="59"/>
        <v>Indianapolis Colts win, tie, or Baltimore Ravens win by 2 or less</v>
      </c>
      <c r="F86" s="3" t="str">
        <f t="shared" ca="1" si="60"/>
        <v>Baltimore Ravens win by 3</v>
      </c>
      <c r="G86" s="1" t="str">
        <f t="shared" ca="1" si="57"/>
        <v/>
      </c>
    </row>
    <row r="87" spans="2:7" x14ac:dyDescent="0.2">
      <c r="B87" s="3">
        <f t="shared" si="63"/>
        <v>6</v>
      </c>
      <c r="C87" s="3">
        <f t="shared" si="64"/>
        <v>3</v>
      </c>
      <c r="D87" s="3">
        <f t="shared" ca="1" si="58"/>
        <v>0</v>
      </c>
      <c r="E87" s="3" t="str">
        <f t="shared" ca="1" si="59"/>
        <v>Baltimore Ravens + Indianapolis Colts score is 47 or less</v>
      </c>
      <c r="F87" s="3" t="str">
        <f t="shared" ca="1" si="60"/>
        <v>Michigan can win a game in regular time, not make-believe time…</v>
      </c>
      <c r="G87" s="1" t="str">
        <f t="shared" ca="1" si="57"/>
        <v/>
      </c>
    </row>
    <row r="88" spans="2:7" x14ac:dyDescent="0.2">
      <c r="B88" s="3">
        <f t="shared" si="63"/>
        <v>6</v>
      </c>
      <c r="C88" s="3">
        <f t="shared" si="64"/>
        <v>4</v>
      </c>
      <c r="D88" s="3">
        <f t="shared" ca="1" si="58"/>
        <v>0</v>
      </c>
      <c r="E88" s="3" t="str">
        <f t="shared" ca="1" si="59"/>
        <v>Baltimore Ravens + Indianapolis Colts score is 48 or more</v>
      </c>
      <c r="F88" s="3" t="str">
        <f t="shared" ca="1" si="60"/>
        <v>Michigan can win a game in regular time, not make-believe time…</v>
      </c>
      <c r="G88" s="1" t="str">
        <f t="shared" ca="1" si="57"/>
        <v/>
      </c>
    </row>
    <row r="89" spans="2:7" x14ac:dyDescent="0.2">
      <c r="B89" s="3">
        <f t="shared" si="63"/>
        <v>7</v>
      </c>
      <c r="C89" s="3">
        <f t="shared" si="64"/>
        <v>1</v>
      </c>
      <c r="D89" s="3">
        <f t="shared" ca="1" si="58"/>
        <v>0</v>
      </c>
      <c r="E89" s="3" t="str">
        <f t="shared" ca="1" si="59"/>
        <v>Atlanta Falcons win, tie, or Pittsburgh Steelers win by 3 or less</v>
      </c>
      <c r="F89" s="3" t="str">
        <f t="shared" ca="1" si="60"/>
        <v>Michigan can win a game in regular time, not make-believe time…</v>
      </c>
      <c r="G89" s="1" t="str">
        <f t="shared" ca="1" si="57"/>
        <v/>
      </c>
    </row>
    <row r="90" spans="2:7" x14ac:dyDescent="0.2">
      <c r="B90" s="3">
        <f t="shared" si="63"/>
        <v>7</v>
      </c>
      <c r="C90" s="3">
        <f t="shared" si="64"/>
        <v>2</v>
      </c>
      <c r="D90" s="3">
        <f t="shared" ca="1" si="58"/>
        <v>0</v>
      </c>
      <c r="E90" s="3" t="str">
        <f t="shared" ca="1" si="59"/>
        <v>Pittsburgh Steelers win by 4 or more</v>
      </c>
      <c r="F90" s="3" t="str">
        <f t="shared" ca="1" si="60"/>
        <v>Michigan can win a game in regular time, not make-believe time…</v>
      </c>
      <c r="G90" s="1" t="str">
        <f t="shared" ca="1" si="57"/>
        <v/>
      </c>
    </row>
    <row r="91" spans="2:7" x14ac:dyDescent="0.2">
      <c r="B91" s="3">
        <f t="shared" si="63"/>
        <v>7</v>
      </c>
      <c r="C91" s="3">
        <f t="shared" si="64"/>
        <v>3</v>
      </c>
      <c r="D91" s="3">
        <f t="shared" ca="1" si="58"/>
        <v>0</v>
      </c>
      <c r="E91" s="3" t="str">
        <f t="shared" ca="1" si="59"/>
        <v>Atlanta Falcons + Pittsburgh Steelers score is 42 or less</v>
      </c>
      <c r="F91" s="3" t="str">
        <f t="shared" ca="1" si="60"/>
        <v>Michigan can win a game in regular time, not make-believe time…</v>
      </c>
      <c r="G91" s="1" t="str">
        <f t="shared" ca="1" si="57"/>
        <v/>
      </c>
    </row>
    <row r="92" spans="2:7" x14ac:dyDescent="0.2">
      <c r="B92" s="3">
        <f t="shared" si="63"/>
        <v>7</v>
      </c>
      <c r="C92" s="3">
        <f t="shared" si="64"/>
        <v>4</v>
      </c>
      <c r="D92" s="3">
        <f t="shared" ca="1" si="58"/>
        <v>0</v>
      </c>
      <c r="E92" s="3" t="str">
        <f t="shared" ca="1" si="59"/>
        <v>Atlanta Falcons + Pittsburgh Steelers score is 43 or more</v>
      </c>
      <c r="F92" s="3" t="str">
        <f t="shared" ca="1" si="60"/>
        <v>Michigan can win a game in regular time, not make-believe time…</v>
      </c>
      <c r="G92" s="1" t="str">
        <f t="shared" ca="1" si="57"/>
        <v/>
      </c>
    </row>
    <row r="93" spans="2:7" x14ac:dyDescent="0.2">
      <c r="B93" s="3">
        <f t="shared" si="63"/>
        <v>8</v>
      </c>
      <c r="C93" s="3">
        <f t="shared" si="64"/>
        <v>1</v>
      </c>
      <c r="D93" s="3">
        <f t="shared" ca="1" si="58"/>
        <v>0</v>
      </c>
      <c r="E93" s="3" t="str">
        <f t="shared" ca="1" si="59"/>
        <v>Chicago Bears win by 4 or more</v>
      </c>
      <c r="F93" s="3" t="str">
        <f t="shared" ca="1" si="60"/>
        <v>Chicago Bears win by 3</v>
      </c>
      <c r="G93" s="1" t="str">
        <f t="shared" ca="1" si="57"/>
        <v/>
      </c>
    </row>
    <row r="94" spans="2:7" x14ac:dyDescent="0.2">
      <c r="B94" s="3">
        <f t="shared" si="63"/>
        <v>8</v>
      </c>
      <c r="C94" s="3">
        <f t="shared" si="64"/>
        <v>2</v>
      </c>
      <c r="D94" s="3">
        <f t="shared" ca="1" si="58"/>
        <v>0</v>
      </c>
      <c r="E94" s="3" t="str">
        <f t="shared" ca="1" si="59"/>
        <v>Carolina Panthers win, tie, or Chicago Bears win by 2 or less</v>
      </c>
      <c r="F94" s="3" t="str">
        <f t="shared" ca="1" si="60"/>
        <v>Chicago Bears win by 3</v>
      </c>
      <c r="G94" s="1" t="str">
        <f t="shared" ca="1" si="57"/>
        <v/>
      </c>
    </row>
    <row r="95" spans="2:7" x14ac:dyDescent="0.2">
      <c r="B95" s="3">
        <f t="shared" si="63"/>
        <v>8</v>
      </c>
      <c r="C95" s="3">
        <f t="shared" si="64"/>
        <v>3</v>
      </c>
      <c r="D95" s="3">
        <f t="shared" ca="1" si="58"/>
        <v>0</v>
      </c>
      <c r="E95" s="3" t="str">
        <f t="shared" ca="1" si="59"/>
        <v>Chicago Bears + Carolina Panthers score is 46 or less</v>
      </c>
      <c r="F95" s="3" t="str">
        <f t="shared" ca="1" si="60"/>
        <v>Michigan can win a game in regular time, not make-believe time…</v>
      </c>
      <c r="G95" s="1" t="str">
        <f t="shared" ca="1" si="57"/>
        <v/>
      </c>
    </row>
    <row r="96" spans="2:7" x14ac:dyDescent="0.2">
      <c r="B96" s="3">
        <f t="shared" si="63"/>
        <v>8</v>
      </c>
      <c r="C96" s="3">
        <f t="shared" si="64"/>
        <v>4</v>
      </c>
      <c r="D96" s="3">
        <f t="shared" ca="1" si="58"/>
        <v>0</v>
      </c>
      <c r="E96" s="3" t="str">
        <f t="shared" ca="1" si="59"/>
        <v>Chicago Bears + Carolina Panthers score is 47 or more</v>
      </c>
      <c r="F96" s="3" t="str">
        <f t="shared" ca="1" si="60"/>
        <v>Michigan can win a game in regular time, not make-believe time…</v>
      </c>
      <c r="G96" s="1" t="str">
        <f t="shared" ca="1" si="57"/>
        <v/>
      </c>
    </row>
    <row r="97" spans="2:7" x14ac:dyDescent="0.2">
      <c r="B97" s="3">
        <f t="shared" si="63"/>
        <v>9</v>
      </c>
      <c r="C97" s="3">
        <f t="shared" si="64"/>
        <v>1</v>
      </c>
      <c r="D97" s="3">
        <f t="shared" ca="1" si="58"/>
        <v>0</v>
      </c>
      <c r="E97" s="3" t="str">
        <f t="shared" ca="1" si="59"/>
        <v>Cleveland Browns win, tie, or Jacksonville Jaguars win by 7 or less</v>
      </c>
      <c r="F97" s="3" t="str">
        <f t="shared" ca="1" si="60"/>
        <v>Michigan can win a game in regular time, not make-believe time…</v>
      </c>
      <c r="G97" s="1" t="str">
        <f t="shared" ca="1" si="57"/>
        <v/>
      </c>
    </row>
    <row r="98" spans="2:7" x14ac:dyDescent="0.2">
      <c r="B98" s="3">
        <f t="shared" si="63"/>
        <v>9</v>
      </c>
      <c r="C98" s="3">
        <f t="shared" si="64"/>
        <v>2</v>
      </c>
      <c r="D98" s="3">
        <f t="shared" ca="1" si="58"/>
        <v>0</v>
      </c>
      <c r="E98" s="3" t="str">
        <f t="shared" ca="1" si="59"/>
        <v>Jacksonville Jaguars win by 8 or more</v>
      </c>
      <c r="F98" s="3" t="str">
        <f t="shared" ca="1" si="60"/>
        <v>Michigan can win a game in regular time, not make-believe time…</v>
      </c>
      <c r="G98" s="1" t="str">
        <f t="shared" ca="1" si="57"/>
        <v/>
      </c>
    </row>
    <row r="99" spans="2:7" x14ac:dyDescent="0.2">
      <c r="B99" s="3">
        <f t="shared" si="63"/>
        <v>9</v>
      </c>
      <c r="C99" s="3">
        <f t="shared" si="64"/>
        <v>3</v>
      </c>
      <c r="D99" s="3">
        <f t="shared" ca="1" si="58"/>
        <v>0</v>
      </c>
      <c r="E99" s="3" t="str">
        <f t="shared" ca="1" si="59"/>
        <v>Cleveland Browns + Jacksonville Jaguars score is 40 or less</v>
      </c>
      <c r="F99" s="3" t="str">
        <f t="shared" ca="1" si="60"/>
        <v>Michigan can win a game in regular time, not make-believe time…</v>
      </c>
      <c r="G99" s="1" t="str">
        <f t="shared" ca="1" si="57"/>
        <v/>
      </c>
    </row>
    <row r="100" spans="2:7" x14ac:dyDescent="0.2">
      <c r="B100" s="3">
        <f t="shared" si="63"/>
        <v>9</v>
      </c>
      <c r="C100" s="3">
        <f t="shared" si="64"/>
        <v>4</v>
      </c>
      <c r="D100" s="3">
        <f t="shared" ca="1" si="58"/>
        <v>0</v>
      </c>
      <c r="E100" s="3" t="str">
        <f t="shared" ca="1" si="59"/>
        <v>Cleveland Browns + Jacksonville Jaguars score is 41 or more</v>
      </c>
      <c r="F100" s="3" t="str">
        <f t="shared" ca="1" si="60"/>
        <v>Michigan can win a game in regular time, not make-believe time…</v>
      </c>
      <c r="G100" s="1" t="str">
        <f t="shared" ca="1" si="57"/>
        <v/>
      </c>
    </row>
    <row r="101" spans="2:7" x14ac:dyDescent="0.2">
      <c r="B101" s="3">
        <f t="shared" si="63"/>
        <v>10</v>
      </c>
      <c r="C101" s="3">
        <f t="shared" si="64"/>
        <v>1</v>
      </c>
      <c r="D101" s="3">
        <f t="shared" ca="1" si="58"/>
        <v>0</v>
      </c>
      <c r="E101" s="3" t="str">
        <f t="shared" ca="1" si="59"/>
        <v>Buffalo Bills win by 2 or more</v>
      </c>
      <c r="F101" s="3" t="str">
        <f t="shared" ca="1" si="60"/>
        <v>Michigan can win a game in regular time, not make-believe time…</v>
      </c>
      <c r="G101" s="1" t="str">
        <f t="shared" ca="1" si="57"/>
        <v/>
      </c>
    </row>
    <row r="102" spans="2:7" x14ac:dyDescent="0.2">
      <c r="B102" s="3">
        <f t="shared" si="63"/>
        <v>10</v>
      </c>
      <c r="C102" s="3">
        <f t="shared" si="64"/>
        <v>2</v>
      </c>
      <c r="D102" s="3">
        <f t="shared" ca="1" si="58"/>
        <v>0</v>
      </c>
      <c r="E102" s="3" t="str">
        <f t="shared" ca="1" si="59"/>
        <v>Houston Texans win, tie, or Buffalo Bills win by 1</v>
      </c>
      <c r="F102" s="3" t="str">
        <f t="shared" ca="1" si="60"/>
        <v>Michigan can win a game in regular time, not make-believe time…</v>
      </c>
      <c r="G102" s="1" t="str">
        <f t="shared" ca="1" si="57"/>
        <v/>
      </c>
    </row>
    <row r="103" spans="2:7" x14ac:dyDescent="0.2">
      <c r="B103" s="3">
        <f t="shared" si="63"/>
        <v>10</v>
      </c>
      <c r="C103" s="3">
        <f t="shared" si="64"/>
        <v>3</v>
      </c>
      <c r="D103" s="3">
        <f t="shared" ca="1" si="58"/>
        <v>0</v>
      </c>
      <c r="E103" s="3" t="str">
        <f t="shared" ca="1" si="59"/>
        <v>Buffalo Bills + Houston Texans score is 44 or less</v>
      </c>
      <c r="F103" s="3" t="str">
        <f t="shared" ca="1" si="60"/>
        <v>Michigan can win a game in regular time, not make-believe time…</v>
      </c>
      <c r="G103" s="1" t="str">
        <f t="shared" ca="1" si="57"/>
        <v/>
      </c>
    </row>
    <row r="104" spans="2:7" x14ac:dyDescent="0.2">
      <c r="B104" s="3">
        <f t="shared" si="63"/>
        <v>10</v>
      </c>
      <c r="C104" s="3">
        <f t="shared" si="64"/>
        <v>4</v>
      </c>
      <c r="D104" s="3">
        <f t="shared" ca="1" si="58"/>
        <v>0</v>
      </c>
      <c r="E104" s="3" t="str">
        <f t="shared" ca="1" si="59"/>
        <v>Buffalo Bills + Houston Texans score is 45 or more</v>
      </c>
      <c r="F104" s="3" t="str">
        <f t="shared" ca="1" si="60"/>
        <v>Michigan can win a game in regular time, not make-believe time…</v>
      </c>
      <c r="G104" s="1" t="str">
        <f t="shared" ca="1" si="57"/>
        <v/>
      </c>
    </row>
    <row r="105" spans="2:7" x14ac:dyDescent="0.2">
      <c r="B105" s="3">
        <f t="shared" si="63"/>
        <v>11</v>
      </c>
      <c r="C105" s="3">
        <f t="shared" si="64"/>
        <v>1</v>
      </c>
      <c r="D105" s="3">
        <f t="shared" ca="1" si="58"/>
        <v>0</v>
      </c>
      <c r="E105" s="3" t="str">
        <f t="shared" ca="1" si="59"/>
        <v>Miami Dolphins win, tie, or Las Vegas Raiders win by 3 or less</v>
      </c>
      <c r="F105" s="3" t="str">
        <f t="shared" ca="1" si="60"/>
        <v>Michigan can win a game in regular time, not make-believe time…</v>
      </c>
      <c r="G105" s="1" t="str">
        <f t="shared" ca="1" si="57"/>
        <v/>
      </c>
    </row>
    <row r="106" spans="2:7" x14ac:dyDescent="0.2">
      <c r="B106" s="3">
        <f t="shared" si="63"/>
        <v>11</v>
      </c>
      <c r="C106" s="3">
        <f t="shared" si="64"/>
        <v>2</v>
      </c>
      <c r="D106" s="3">
        <f t="shared" ca="1" si="58"/>
        <v>0</v>
      </c>
      <c r="E106" s="3" t="str">
        <f t="shared" ca="1" si="59"/>
        <v>Las Vegas Raiders win by 4 or more</v>
      </c>
      <c r="F106" s="3" t="str">
        <f t="shared" ca="1" si="60"/>
        <v>Michigan can win a game in regular time, not make-believe time…</v>
      </c>
      <c r="G106" s="1" t="str">
        <f ca="1">IF(OR(D106=1,D106=2,D106=3,D106=4,D106=5),TEXT((B106-1)*4+C106,"00")&amp;",",IF(D106=6,TEXT((B106-1)*4+C106,"00"),""))</f>
        <v/>
      </c>
    </row>
    <row r="107" spans="2:7" x14ac:dyDescent="0.2">
      <c r="B107" s="3">
        <f t="shared" si="63"/>
        <v>11</v>
      </c>
      <c r="C107" s="3">
        <f t="shared" si="64"/>
        <v>3</v>
      </c>
      <c r="D107" s="3">
        <f t="shared" ca="1" si="58"/>
        <v>0</v>
      </c>
      <c r="E107" s="3" t="str">
        <f t="shared" ca="1" si="59"/>
        <v>Miami Dolphins + Las Vegas Raiders score is 40 or less</v>
      </c>
      <c r="F107" s="3" t="str">
        <f t="shared" ca="1" si="60"/>
        <v>Michigan can win a game in regular time, not make-believe time…</v>
      </c>
      <c r="G107" s="1" t="str">
        <f t="shared" ref="G107:G128" ca="1" si="65">IF(OR(D107=1,D107=2,D107=3,D107=4,D107=5),TEXT((B107-1)*4+C107,"00")&amp;",",IF(D107=6,TEXT((B107-1)*4+C107,"00"),""))</f>
        <v/>
      </c>
    </row>
    <row r="108" spans="2:7" x14ac:dyDescent="0.2">
      <c r="B108" s="3">
        <f t="shared" si="63"/>
        <v>11</v>
      </c>
      <c r="C108" s="3">
        <f t="shared" si="64"/>
        <v>4</v>
      </c>
      <c r="D108" s="3">
        <f t="shared" ca="1" si="58"/>
        <v>0</v>
      </c>
      <c r="E108" s="3" t="str">
        <f t="shared" ca="1" si="59"/>
        <v>Miami Dolphins + Las Vegas Raiders score is 41 or more</v>
      </c>
      <c r="F108" s="3" t="str">
        <f t="shared" ca="1" si="60"/>
        <v>Michigan can win a game in regular time, not make-believe time…</v>
      </c>
      <c r="G108" s="1" t="str">
        <f t="shared" ca="1" si="65"/>
        <v/>
      </c>
    </row>
    <row r="109" spans="2:7" x14ac:dyDescent="0.2">
      <c r="B109" s="3">
        <f t="shared" si="63"/>
        <v>12</v>
      </c>
      <c r="C109" s="3">
        <f t="shared" si="64"/>
        <v>1</v>
      </c>
      <c r="D109" s="3">
        <f t="shared" ca="1" si="58"/>
        <v>0</v>
      </c>
      <c r="E109" s="3" t="str">
        <f t="shared" ca="1" si="59"/>
        <v>Green Bay Packers win, tie, or Minnesota Vikings win by 1</v>
      </c>
      <c r="F109" s="3" t="str">
        <f t="shared" ca="1" si="60"/>
        <v>Michigan can win a game in regular time, not make-believe time…</v>
      </c>
      <c r="G109" s="1" t="str">
        <f t="shared" ca="1" si="65"/>
        <v/>
      </c>
    </row>
    <row r="110" spans="2:7" x14ac:dyDescent="0.2">
      <c r="B110" s="3">
        <f t="shared" si="63"/>
        <v>12</v>
      </c>
      <c r="C110" s="3">
        <f t="shared" si="64"/>
        <v>2</v>
      </c>
      <c r="D110" s="3">
        <f t="shared" ca="1" si="58"/>
        <v>0</v>
      </c>
      <c r="E110" s="3" t="str">
        <f t="shared" ca="1" si="59"/>
        <v>Minnesota Vikings win by 2 or more</v>
      </c>
      <c r="F110" s="3" t="str">
        <f t="shared" ca="1" si="60"/>
        <v>Michigan can win a game in regular time, not make-believe time…</v>
      </c>
      <c r="G110" s="1" t="str">
        <f t="shared" ca="1" si="65"/>
        <v/>
      </c>
    </row>
    <row r="111" spans="2:7" x14ac:dyDescent="0.2">
      <c r="B111" s="3">
        <f t="shared" si="63"/>
        <v>12</v>
      </c>
      <c r="C111" s="3">
        <f t="shared" si="64"/>
        <v>3</v>
      </c>
      <c r="D111" s="3">
        <f t="shared" ca="1" si="58"/>
        <v>0</v>
      </c>
      <c r="E111" s="3" t="str">
        <f t="shared" ca="1" si="59"/>
        <v>Green Bay Packers + Minnesota Vikings score is 46 or less</v>
      </c>
      <c r="F111" s="3" t="str">
        <f t="shared" ca="1" si="60"/>
        <v>Michigan can win a game in regular time, not make-believe time…</v>
      </c>
      <c r="G111" s="1" t="str">
        <f t="shared" ca="1" si="65"/>
        <v/>
      </c>
    </row>
    <row r="112" spans="2:7" x14ac:dyDescent="0.2">
      <c r="B112" s="3">
        <f t="shared" si="63"/>
        <v>12</v>
      </c>
      <c r="C112" s="3">
        <f t="shared" si="64"/>
        <v>4</v>
      </c>
      <c r="D112" s="3">
        <f t="shared" ca="1" si="58"/>
        <v>0</v>
      </c>
      <c r="E112" s="3" t="str">
        <f t="shared" ca="1" si="59"/>
        <v>Green Bay Packers + Minnesota Vikings score is 47 or more</v>
      </c>
      <c r="F112" s="3" t="str">
        <f t="shared" ca="1" si="60"/>
        <v>Michigan can win a game in regular time, not make-believe time…</v>
      </c>
      <c r="G112" s="1" t="str">
        <f t="shared" ca="1" si="65"/>
        <v/>
      </c>
    </row>
    <row r="113" spans="2:7" x14ac:dyDescent="0.2">
      <c r="B113" s="3">
        <f t="shared" si="63"/>
        <v>13</v>
      </c>
      <c r="C113" s="3">
        <f t="shared" si="64"/>
        <v>1</v>
      </c>
      <c r="D113" s="3">
        <f t="shared" ca="1" si="58"/>
        <v>0</v>
      </c>
      <c r="E113" s="3" t="str">
        <f t="shared" ca="1" si="59"/>
        <v>Washington Commanders win, tie, or Philadelphia Eagles win by 4 or less</v>
      </c>
      <c r="F113" s="3" t="str">
        <f t="shared" ca="1" si="60"/>
        <v>Michigan can win a game in regular time, not make-believe time…</v>
      </c>
      <c r="G113" s="1" t="str">
        <f t="shared" ca="1" si="65"/>
        <v/>
      </c>
    </row>
    <row r="114" spans="2:7" x14ac:dyDescent="0.2">
      <c r="B114" s="3">
        <f t="shared" si="63"/>
        <v>13</v>
      </c>
      <c r="C114" s="3">
        <f t="shared" si="64"/>
        <v>2</v>
      </c>
      <c r="D114" s="3">
        <f t="shared" ca="1" si="58"/>
        <v>0</v>
      </c>
      <c r="E114" s="3" t="str">
        <f t="shared" ca="1" si="59"/>
        <v>Philadelphia Eagles win by 5 or more</v>
      </c>
      <c r="F114" s="3" t="str">
        <f t="shared" ca="1" si="60"/>
        <v>Michigan can win a game in regular time, not make-believe time…</v>
      </c>
      <c r="G114" s="1" t="str">
        <f t="shared" ca="1" si="65"/>
        <v/>
      </c>
    </row>
    <row r="115" spans="2:7" x14ac:dyDescent="0.2">
      <c r="B115" s="3">
        <f t="shared" si="63"/>
        <v>13</v>
      </c>
      <c r="C115" s="3">
        <f t="shared" si="64"/>
        <v>3</v>
      </c>
      <c r="D115" s="3">
        <f t="shared" ca="1" si="58"/>
        <v>0</v>
      </c>
      <c r="E115" s="3" t="str">
        <f t="shared" ca="1" si="59"/>
        <v>Washington Commanders + Philadelphia Eagles score is 44 or less</v>
      </c>
      <c r="F115" s="3" t="str">
        <f t="shared" ca="1" si="60"/>
        <v>Michigan can win a game in regular time, not make-believe time…</v>
      </c>
      <c r="G115" s="1" t="str">
        <f t="shared" ca="1" si="65"/>
        <v/>
      </c>
    </row>
    <row r="116" spans="2:7" x14ac:dyDescent="0.2">
      <c r="B116" s="3">
        <f t="shared" si="63"/>
        <v>13</v>
      </c>
      <c r="C116" s="3">
        <f t="shared" si="64"/>
        <v>4</v>
      </c>
      <c r="D116" s="3">
        <f t="shared" ca="1" si="58"/>
        <v>0</v>
      </c>
      <c r="E116" s="3" t="str">
        <f t="shared" ca="1" si="59"/>
        <v>Washington Commanders + Philadelphia Eagles score is 45 or more</v>
      </c>
      <c r="F116" s="3" t="str">
        <f t="shared" ca="1" si="60"/>
        <v>Michigan can win a game in regular time, not make-believe time…</v>
      </c>
      <c r="G116" s="1" t="str">
        <f t="shared" ca="1" si="65"/>
        <v/>
      </c>
    </row>
    <row r="117" spans="2:7" x14ac:dyDescent="0.2">
      <c r="B117" s="3">
        <f t="shared" si="63"/>
        <v>14</v>
      </c>
      <c r="C117" s="3">
        <f t="shared" si="64"/>
        <v>1</v>
      </c>
      <c r="D117" s="3">
        <f t="shared" ca="1" si="58"/>
        <v>0</v>
      </c>
      <c r="E117" s="3" t="str">
        <f t="shared" ca="1" si="59"/>
        <v>Arizona Cardinals win, tie, or Los Angeles Chargers win by 9 or less</v>
      </c>
      <c r="F117" s="3" t="str">
        <f t="shared" ca="1" si="60"/>
        <v>Los Angeles Chargers win by 10</v>
      </c>
      <c r="G117" s="1" t="str">
        <f t="shared" ca="1" si="65"/>
        <v/>
      </c>
    </row>
    <row r="118" spans="2:7" x14ac:dyDescent="0.2">
      <c r="B118" s="3">
        <f t="shared" si="63"/>
        <v>14</v>
      </c>
      <c r="C118" s="3">
        <f t="shared" si="64"/>
        <v>2</v>
      </c>
      <c r="D118" s="3">
        <f t="shared" ca="1" si="58"/>
        <v>0</v>
      </c>
      <c r="E118" s="3" t="str">
        <f t="shared" ca="1" si="59"/>
        <v>Los Angeles Chargers win by 11 or more</v>
      </c>
      <c r="F118" s="3" t="str">
        <f t="shared" ca="1" si="60"/>
        <v>Los Angeles Chargers win by 10</v>
      </c>
      <c r="G118" s="1" t="str">
        <f t="shared" ca="1" si="65"/>
        <v/>
      </c>
    </row>
    <row r="119" spans="2:7" x14ac:dyDescent="0.2">
      <c r="B119" s="3">
        <f t="shared" si="63"/>
        <v>14</v>
      </c>
      <c r="C119" s="3">
        <f t="shared" si="64"/>
        <v>3</v>
      </c>
      <c r="D119" s="3">
        <f t="shared" ca="1" si="58"/>
        <v>0</v>
      </c>
      <c r="E119" s="3" t="str">
        <f t="shared" ca="1" si="59"/>
        <v>Arizona Cardinals + Los Angeles Chargers score is 47 or less</v>
      </c>
      <c r="F119" s="3" t="str">
        <f t="shared" ca="1" si="60"/>
        <v>Michigan can win a game in regular time, not make-believe time…</v>
      </c>
      <c r="G119" s="1" t="str">
        <f t="shared" ca="1" si="65"/>
        <v/>
      </c>
    </row>
    <row r="120" spans="2:7" x14ac:dyDescent="0.2">
      <c r="B120" s="3">
        <f t="shared" si="63"/>
        <v>14</v>
      </c>
      <c r="C120" s="3">
        <f t="shared" si="64"/>
        <v>4</v>
      </c>
      <c r="D120" s="3">
        <f t="shared" ca="1" si="58"/>
        <v>0</v>
      </c>
      <c r="E120" s="3" t="str">
        <f t="shared" ca="1" si="59"/>
        <v>Arizona Cardinals + Los Angeles Chargers score is 48 or more</v>
      </c>
      <c r="F120" s="3" t="str">
        <f t="shared" ca="1" si="60"/>
        <v>Michigan can win a game in regular time, not make-believe time…</v>
      </c>
      <c r="G120" s="1" t="str">
        <f t="shared" ca="1" si="65"/>
        <v/>
      </c>
    </row>
    <row r="121" spans="2:7" x14ac:dyDescent="0.2">
      <c r="B121" s="3">
        <f t="shared" si="63"/>
        <v>15</v>
      </c>
      <c r="C121" s="3">
        <f t="shared" si="64"/>
        <v>1</v>
      </c>
      <c r="D121" s="3">
        <f t="shared" ca="1" si="58"/>
        <v>0</v>
      </c>
      <c r="E121" s="3" t="str">
        <f t="shared" ca="1" si="59"/>
        <v>Dallas Cowboys win by 4 or more</v>
      </c>
      <c r="F121" s="3" t="str">
        <f t="shared" ca="1" si="60"/>
        <v>Dallas Cowboys win by 3</v>
      </c>
      <c r="G121" s="1" t="str">
        <f t="shared" ca="1" si="65"/>
        <v/>
      </c>
    </row>
    <row r="122" spans="2:7" x14ac:dyDescent="0.2">
      <c r="B122" s="3">
        <f t="shared" si="63"/>
        <v>15</v>
      </c>
      <c r="C122" s="3">
        <f t="shared" si="64"/>
        <v>2</v>
      </c>
      <c r="D122" s="3">
        <f t="shared" ca="1" si="58"/>
        <v>0</v>
      </c>
      <c r="E122" s="3" t="str">
        <f t="shared" ca="1" si="59"/>
        <v>New York Giants win, tie, or Dallas Cowboys win by 2 or less</v>
      </c>
      <c r="F122" s="3" t="str">
        <f t="shared" ca="1" si="60"/>
        <v>Dallas Cowboys win by 3</v>
      </c>
      <c r="G122" s="1" t="str">
        <f t="shared" ca="1" si="65"/>
        <v/>
      </c>
    </row>
    <row r="123" spans="2:7" x14ac:dyDescent="0.2">
      <c r="B123" s="3">
        <f t="shared" si="63"/>
        <v>15</v>
      </c>
      <c r="C123" s="3">
        <f t="shared" si="64"/>
        <v>3</v>
      </c>
      <c r="D123" s="3">
        <f t="shared" ca="1" si="58"/>
        <v>0</v>
      </c>
      <c r="E123" s="3" t="str">
        <f t="shared" ca="1" si="59"/>
        <v>Dallas Cowboys + New York Giants score is 48 or less</v>
      </c>
      <c r="F123" s="3" t="str">
        <f t="shared" ca="1" si="60"/>
        <v>Michigan can win a game in regular time, not make-believe time…</v>
      </c>
      <c r="G123" s="1" t="str">
        <f t="shared" ca="1" si="65"/>
        <v/>
      </c>
    </row>
    <row r="124" spans="2:7" x14ac:dyDescent="0.2">
      <c r="B124" s="3">
        <f t="shared" si="63"/>
        <v>15</v>
      </c>
      <c r="C124" s="3">
        <f t="shared" si="64"/>
        <v>4</v>
      </c>
      <c r="D124" s="3">
        <f t="shared" ca="1" si="58"/>
        <v>0</v>
      </c>
      <c r="E124" s="3" t="str">
        <f t="shared" ca="1" si="59"/>
        <v>Dallas Cowboys + New York Giants score is 49 or more</v>
      </c>
      <c r="F124" s="3" t="str">
        <f t="shared" ca="1" si="60"/>
        <v>Michigan can win a game in regular time, not make-believe time…</v>
      </c>
      <c r="G124" s="1" t="str">
        <f t="shared" ca="1" si="65"/>
        <v/>
      </c>
    </row>
    <row r="125" spans="2:7" x14ac:dyDescent="0.2">
      <c r="B125" s="3">
        <f t="shared" si="63"/>
        <v>16</v>
      </c>
      <c r="C125" s="3">
        <f t="shared" si="64"/>
        <v>1</v>
      </c>
      <c r="D125" s="3">
        <f t="shared" ca="1" si="58"/>
        <v>0</v>
      </c>
      <c r="E125" s="3" t="str">
        <f t="shared" ca="1" si="59"/>
        <v>Denver Broncos win, tie, or Kansas City Chiefs win by 2 or less</v>
      </c>
      <c r="F125" s="3" t="str">
        <f t="shared" ca="1" si="60"/>
        <v>Kansas City Chiefs win by 3</v>
      </c>
      <c r="G125" s="1" t="str">
        <f t="shared" ca="1" si="65"/>
        <v/>
      </c>
    </row>
    <row r="126" spans="2:7" x14ac:dyDescent="0.2">
      <c r="B126" s="3">
        <f t="shared" si="63"/>
        <v>16</v>
      </c>
      <c r="C126" s="3">
        <f t="shared" si="64"/>
        <v>2</v>
      </c>
      <c r="D126" s="3">
        <f t="shared" ca="1" si="58"/>
        <v>0</v>
      </c>
      <c r="E126" s="3" t="str">
        <f t="shared" ca="1" si="59"/>
        <v>Kansas City Chiefs win by 4 or more</v>
      </c>
      <c r="F126" s="3" t="str">
        <f t="shared" ca="1" si="60"/>
        <v>Kansas City Chiefs win by 3</v>
      </c>
      <c r="G126" s="1" t="str">
        <f t="shared" ca="1" si="65"/>
        <v/>
      </c>
    </row>
    <row r="127" spans="2:7" x14ac:dyDescent="0.2">
      <c r="B127" s="3">
        <f t="shared" si="63"/>
        <v>16</v>
      </c>
      <c r="C127" s="3">
        <f t="shared" si="64"/>
        <v>3</v>
      </c>
      <c r="D127" s="3">
        <f t="shared" ca="1" si="58"/>
        <v>0</v>
      </c>
      <c r="E127" s="3" t="str">
        <f t="shared" ca="1" si="59"/>
        <v>Denver Broncos + Kansas City Chiefs score is 42 or less</v>
      </c>
      <c r="F127" s="3" t="str">
        <f t="shared" ca="1" si="60"/>
        <v>Michigan can win a game in regular time, not make-believe time…</v>
      </c>
      <c r="G127" s="1" t="str">
        <f t="shared" ca="1" si="65"/>
        <v/>
      </c>
    </row>
    <row r="128" spans="2:7" x14ac:dyDescent="0.2">
      <c r="B128" s="3">
        <f t="shared" si="63"/>
        <v>16</v>
      </c>
      <c r="C128" s="3">
        <f t="shared" si="64"/>
        <v>4</v>
      </c>
      <c r="D128" s="3">
        <f t="shared" ca="1" si="58"/>
        <v>0</v>
      </c>
      <c r="E128" s="3" t="str">
        <f t="shared" ca="1" si="59"/>
        <v>Denver Broncos + Kansas City Chiefs score is 43 or more</v>
      </c>
      <c r="F128" s="3" t="str">
        <f t="shared" ca="1" si="60"/>
        <v>Michigan can win a game in regular time, not make-believe time…</v>
      </c>
      <c r="G128" s="1" t="str">
        <f t="shared" ca="1" si="65"/>
        <v/>
      </c>
    </row>
  </sheetData>
  <sheetProtection password="8BE5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10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cols>
    <col min="1" max="1" width="5.85546875" style="2" bestFit="1" customWidth="1"/>
    <col min="2" max="3" width="42.85546875" customWidth="1"/>
    <col min="4" max="4" width="16.5703125" bestFit="1" customWidth="1"/>
  </cols>
  <sheetData>
    <row r="1" spans="1:4" x14ac:dyDescent="0.25">
      <c r="A1" s="2" t="s">
        <v>4</v>
      </c>
      <c r="B1" t="s">
        <v>8</v>
      </c>
      <c r="C1" t="s">
        <v>7</v>
      </c>
      <c r="D1" t="s">
        <v>6</v>
      </c>
    </row>
    <row r="2" spans="1:4" x14ac:dyDescent="0.25">
      <c r="A2" s="2">
        <v>-50</v>
      </c>
      <c r="B2" t="str">
        <f t="shared" ref="B2:B49" si="0">"Away win, tie, or Home win by "&amp;ABS(A2)-1&amp;" or less"</f>
        <v>Away win, tie, or Home win by 49 or less</v>
      </c>
      <c r="C2" t="str">
        <f t="shared" ref="C2:C33" si="1">"Home win by "&amp;ABS(A2)+1&amp;" or more"</f>
        <v>Home win by 51 or more</v>
      </c>
      <c r="D2" t="str">
        <f t="shared" ref="D2:D33" si="2">"Home win by "&amp;ABS(A2)</f>
        <v>Home win by 50</v>
      </c>
    </row>
    <row r="3" spans="1:4" x14ac:dyDescent="0.25">
      <c r="A3" s="2">
        <f>A2+1</f>
        <v>-49</v>
      </c>
      <c r="B3" t="str">
        <f t="shared" si="0"/>
        <v>Away win, tie, or Home win by 48 or less</v>
      </c>
      <c r="C3" t="str">
        <f t="shared" si="1"/>
        <v>Home win by 50 or more</v>
      </c>
      <c r="D3" t="str">
        <f t="shared" si="2"/>
        <v>Home win by 49</v>
      </c>
    </row>
    <row r="4" spans="1:4" x14ac:dyDescent="0.25">
      <c r="A4" s="2">
        <f t="shared" ref="A4:A67" si="3">A3+1</f>
        <v>-48</v>
      </c>
      <c r="B4" t="str">
        <f t="shared" si="0"/>
        <v>Away win, tie, or Home win by 47 or less</v>
      </c>
      <c r="C4" t="str">
        <f t="shared" si="1"/>
        <v>Home win by 49 or more</v>
      </c>
      <c r="D4" t="str">
        <f t="shared" si="2"/>
        <v>Home win by 48</v>
      </c>
    </row>
    <row r="5" spans="1:4" x14ac:dyDescent="0.25">
      <c r="A5" s="2">
        <f t="shared" si="3"/>
        <v>-47</v>
      </c>
      <c r="B5" t="str">
        <f t="shared" si="0"/>
        <v>Away win, tie, or Home win by 46 or less</v>
      </c>
      <c r="C5" t="str">
        <f t="shared" si="1"/>
        <v>Home win by 48 or more</v>
      </c>
      <c r="D5" t="str">
        <f t="shared" si="2"/>
        <v>Home win by 47</v>
      </c>
    </row>
    <row r="6" spans="1:4" x14ac:dyDescent="0.25">
      <c r="A6" s="2">
        <f t="shared" si="3"/>
        <v>-46</v>
      </c>
      <c r="B6" t="str">
        <f t="shared" si="0"/>
        <v>Away win, tie, or Home win by 45 or less</v>
      </c>
      <c r="C6" t="str">
        <f t="shared" si="1"/>
        <v>Home win by 47 or more</v>
      </c>
      <c r="D6" t="str">
        <f t="shared" si="2"/>
        <v>Home win by 46</v>
      </c>
    </row>
    <row r="7" spans="1:4" x14ac:dyDescent="0.25">
      <c r="A7" s="2">
        <f t="shared" si="3"/>
        <v>-45</v>
      </c>
      <c r="B7" t="str">
        <f t="shared" si="0"/>
        <v>Away win, tie, or Home win by 44 or less</v>
      </c>
      <c r="C7" t="str">
        <f t="shared" si="1"/>
        <v>Home win by 46 or more</v>
      </c>
      <c r="D7" t="str">
        <f t="shared" si="2"/>
        <v>Home win by 45</v>
      </c>
    </row>
    <row r="8" spans="1:4" x14ac:dyDescent="0.25">
      <c r="A8" s="2">
        <f t="shared" si="3"/>
        <v>-44</v>
      </c>
      <c r="B8" t="str">
        <f t="shared" si="0"/>
        <v>Away win, tie, or Home win by 43 or less</v>
      </c>
      <c r="C8" t="str">
        <f t="shared" si="1"/>
        <v>Home win by 45 or more</v>
      </c>
      <c r="D8" t="str">
        <f t="shared" si="2"/>
        <v>Home win by 44</v>
      </c>
    </row>
    <row r="9" spans="1:4" x14ac:dyDescent="0.25">
      <c r="A9" s="2">
        <f t="shared" si="3"/>
        <v>-43</v>
      </c>
      <c r="B9" t="str">
        <f t="shared" si="0"/>
        <v>Away win, tie, or Home win by 42 or less</v>
      </c>
      <c r="C9" t="str">
        <f t="shared" si="1"/>
        <v>Home win by 44 or more</v>
      </c>
      <c r="D9" t="str">
        <f t="shared" si="2"/>
        <v>Home win by 43</v>
      </c>
    </row>
    <row r="10" spans="1:4" x14ac:dyDescent="0.25">
      <c r="A10" s="2">
        <f t="shared" si="3"/>
        <v>-42</v>
      </c>
      <c r="B10" t="str">
        <f t="shared" si="0"/>
        <v>Away win, tie, or Home win by 41 or less</v>
      </c>
      <c r="C10" t="str">
        <f t="shared" si="1"/>
        <v>Home win by 43 or more</v>
      </c>
      <c r="D10" t="str">
        <f t="shared" si="2"/>
        <v>Home win by 42</v>
      </c>
    </row>
    <row r="11" spans="1:4" x14ac:dyDescent="0.25">
      <c r="A11" s="2">
        <f t="shared" si="3"/>
        <v>-41</v>
      </c>
      <c r="B11" t="str">
        <f t="shared" si="0"/>
        <v>Away win, tie, or Home win by 40 or less</v>
      </c>
      <c r="C11" t="str">
        <f t="shared" si="1"/>
        <v>Home win by 42 or more</v>
      </c>
      <c r="D11" t="str">
        <f t="shared" si="2"/>
        <v>Home win by 41</v>
      </c>
    </row>
    <row r="12" spans="1:4" x14ac:dyDescent="0.25">
      <c r="A12" s="2">
        <f t="shared" si="3"/>
        <v>-40</v>
      </c>
      <c r="B12" t="str">
        <f t="shared" si="0"/>
        <v>Away win, tie, or Home win by 39 or less</v>
      </c>
      <c r="C12" t="str">
        <f t="shared" si="1"/>
        <v>Home win by 41 or more</v>
      </c>
      <c r="D12" t="str">
        <f t="shared" si="2"/>
        <v>Home win by 40</v>
      </c>
    </row>
    <row r="13" spans="1:4" x14ac:dyDescent="0.25">
      <c r="A13" s="2">
        <f t="shared" si="3"/>
        <v>-39</v>
      </c>
      <c r="B13" t="str">
        <f t="shared" si="0"/>
        <v>Away win, tie, or Home win by 38 or less</v>
      </c>
      <c r="C13" t="str">
        <f t="shared" si="1"/>
        <v>Home win by 40 or more</v>
      </c>
      <c r="D13" t="str">
        <f t="shared" si="2"/>
        <v>Home win by 39</v>
      </c>
    </row>
    <row r="14" spans="1:4" x14ac:dyDescent="0.25">
      <c r="A14" s="2">
        <f t="shared" si="3"/>
        <v>-38</v>
      </c>
      <c r="B14" t="str">
        <f t="shared" si="0"/>
        <v>Away win, tie, or Home win by 37 or less</v>
      </c>
      <c r="C14" t="str">
        <f t="shared" si="1"/>
        <v>Home win by 39 or more</v>
      </c>
      <c r="D14" t="str">
        <f t="shared" si="2"/>
        <v>Home win by 38</v>
      </c>
    </row>
    <row r="15" spans="1:4" x14ac:dyDescent="0.25">
      <c r="A15" s="2">
        <f t="shared" si="3"/>
        <v>-37</v>
      </c>
      <c r="B15" t="str">
        <f t="shared" si="0"/>
        <v>Away win, tie, or Home win by 36 or less</v>
      </c>
      <c r="C15" t="str">
        <f t="shared" si="1"/>
        <v>Home win by 38 or more</v>
      </c>
      <c r="D15" t="str">
        <f t="shared" si="2"/>
        <v>Home win by 37</v>
      </c>
    </row>
    <row r="16" spans="1:4" x14ac:dyDescent="0.25">
      <c r="A16" s="2">
        <f t="shared" si="3"/>
        <v>-36</v>
      </c>
      <c r="B16" t="str">
        <f t="shared" si="0"/>
        <v>Away win, tie, or Home win by 35 or less</v>
      </c>
      <c r="C16" t="str">
        <f t="shared" si="1"/>
        <v>Home win by 37 or more</v>
      </c>
      <c r="D16" t="str">
        <f t="shared" si="2"/>
        <v>Home win by 36</v>
      </c>
    </row>
    <row r="17" spans="1:4" x14ac:dyDescent="0.25">
      <c r="A17" s="2">
        <f t="shared" si="3"/>
        <v>-35</v>
      </c>
      <c r="B17" t="str">
        <f t="shared" si="0"/>
        <v>Away win, tie, or Home win by 34 or less</v>
      </c>
      <c r="C17" t="str">
        <f t="shared" si="1"/>
        <v>Home win by 36 or more</v>
      </c>
      <c r="D17" t="str">
        <f t="shared" si="2"/>
        <v>Home win by 35</v>
      </c>
    </row>
    <row r="18" spans="1:4" x14ac:dyDescent="0.25">
      <c r="A18" s="2">
        <f t="shared" si="3"/>
        <v>-34</v>
      </c>
      <c r="B18" t="str">
        <f t="shared" si="0"/>
        <v>Away win, tie, or Home win by 33 or less</v>
      </c>
      <c r="C18" t="str">
        <f t="shared" si="1"/>
        <v>Home win by 35 or more</v>
      </c>
      <c r="D18" t="str">
        <f t="shared" si="2"/>
        <v>Home win by 34</v>
      </c>
    </row>
    <row r="19" spans="1:4" x14ac:dyDescent="0.25">
      <c r="A19" s="2">
        <f t="shared" si="3"/>
        <v>-33</v>
      </c>
      <c r="B19" t="str">
        <f t="shared" si="0"/>
        <v>Away win, tie, or Home win by 32 or less</v>
      </c>
      <c r="C19" t="str">
        <f t="shared" si="1"/>
        <v>Home win by 34 or more</v>
      </c>
      <c r="D19" t="str">
        <f t="shared" si="2"/>
        <v>Home win by 33</v>
      </c>
    </row>
    <row r="20" spans="1:4" x14ac:dyDescent="0.25">
      <c r="A20" s="2">
        <f t="shared" si="3"/>
        <v>-32</v>
      </c>
      <c r="B20" t="str">
        <f t="shared" si="0"/>
        <v>Away win, tie, or Home win by 31 or less</v>
      </c>
      <c r="C20" t="str">
        <f t="shared" si="1"/>
        <v>Home win by 33 or more</v>
      </c>
      <c r="D20" t="str">
        <f t="shared" si="2"/>
        <v>Home win by 32</v>
      </c>
    </row>
    <row r="21" spans="1:4" x14ac:dyDescent="0.25">
      <c r="A21" s="2">
        <f t="shared" si="3"/>
        <v>-31</v>
      </c>
      <c r="B21" t="str">
        <f t="shared" si="0"/>
        <v>Away win, tie, or Home win by 30 or less</v>
      </c>
      <c r="C21" t="str">
        <f t="shared" si="1"/>
        <v>Home win by 32 or more</v>
      </c>
      <c r="D21" t="str">
        <f t="shared" si="2"/>
        <v>Home win by 31</v>
      </c>
    </row>
    <row r="22" spans="1:4" x14ac:dyDescent="0.25">
      <c r="A22" s="2">
        <f t="shared" si="3"/>
        <v>-30</v>
      </c>
      <c r="B22" t="str">
        <f t="shared" si="0"/>
        <v>Away win, tie, or Home win by 29 or less</v>
      </c>
      <c r="C22" t="str">
        <f t="shared" si="1"/>
        <v>Home win by 31 or more</v>
      </c>
      <c r="D22" t="str">
        <f t="shared" si="2"/>
        <v>Home win by 30</v>
      </c>
    </row>
    <row r="23" spans="1:4" x14ac:dyDescent="0.25">
      <c r="A23" s="2">
        <f t="shared" si="3"/>
        <v>-29</v>
      </c>
      <c r="B23" t="str">
        <f t="shared" si="0"/>
        <v>Away win, tie, or Home win by 28 or less</v>
      </c>
      <c r="C23" t="str">
        <f t="shared" si="1"/>
        <v>Home win by 30 or more</v>
      </c>
      <c r="D23" t="str">
        <f t="shared" si="2"/>
        <v>Home win by 29</v>
      </c>
    </row>
    <row r="24" spans="1:4" x14ac:dyDescent="0.25">
      <c r="A24" s="2">
        <f t="shared" si="3"/>
        <v>-28</v>
      </c>
      <c r="B24" t="str">
        <f t="shared" si="0"/>
        <v>Away win, tie, or Home win by 27 or less</v>
      </c>
      <c r="C24" t="str">
        <f t="shared" si="1"/>
        <v>Home win by 29 or more</v>
      </c>
      <c r="D24" t="str">
        <f t="shared" si="2"/>
        <v>Home win by 28</v>
      </c>
    </row>
    <row r="25" spans="1:4" x14ac:dyDescent="0.25">
      <c r="A25" s="2">
        <f t="shared" si="3"/>
        <v>-27</v>
      </c>
      <c r="B25" t="str">
        <f t="shared" si="0"/>
        <v>Away win, tie, or Home win by 26 or less</v>
      </c>
      <c r="C25" t="str">
        <f t="shared" si="1"/>
        <v>Home win by 28 or more</v>
      </c>
      <c r="D25" t="str">
        <f t="shared" si="2"/>
        <v>Home win by 27</v>
      </c>
    </row>
    <row r="26" spans="1:4" x14ac:dyDescent="0.25">
      <c r="A26" s="2">
        <f t="shared" si="3"/>
        <v>-26</v>
      </c>
      <c r="B26" t="str">
        <f t="shared" si="0"/>
        <v>Away win, tie, or Home win by 25 or less</v>
      </c>
      <c r="C26" t="str">
        <f t="shared" si="1"/>
        <v>Home win by 27 or more</v>
      </c>
      <c r="D26" t="str">
        <f t="shared" si="2"/>
        <v>Home win by 26</v>
      </c>
    </row>
    <row r="27" spans="1:4" x14ac:dyDescent="0.25">
      <c r="A27" s="2">
        <f t="shared" si="3"/>
        <v>-25</v>
      </c>
      <c r="B27" t="str">
        <f t="shared" si="0"/>
        <v>Away win, tie, or Home win by 24 or less</v>
      </c>
      <c r="C27" t="str">
        <f t="shared" si="1"/>
        <v>Home win by 26 or more</v>
      </c>
      <c r="D27" t="str">
        <f t="shared" si="2"/>
        <v>Home win by 25</v>
      </c>
    </row>
    <row r="28" spans="1:4" x14ac:dyDescent="0.25">
      <c r="A28" s="2">
        <f t="shared" si="3"/>
        <v>-24</v>
      </c>
      <c r="B28" t="str">
        <f t="shared" si="0"/>
        <v>Away win, tie, or Home win by 23 or less</v>
      </c>
      <c r="C28" t="str">
        <f t="shared" si="1"/>
        <v>Home win by 25 or more</v>
      </c>
      <c r="D28" t="str">
        <f t="shared" si="2"/>
        <v>Home win by 24</v>
      </c>
    </row>
    <row r="29" spans="1:4" x14ac:dyDescent="0.25">
      <c r="A29" s="2">
        <f t="shared" si="3"/>
        <v>-23</v>
      </c>
      <c r="B29" t="str">
        <f t="shared" si="0"/>
        <v>Away win, tie, or Home win by 22 or less</v>
      </c>
      <c r="C29" t="str">
        <f t="shared" si="1"/>
        <v>Home win by 24 or more</v>
      </c>
      <c r="D29" t="str">
        <f t="shared" si="2"/>
        <v>Home win by 23</v>
      </c>
    </row>
    <row r="30" spans="1:4" x14ac:dyDescent="0.25">
      <c r="A30" s="2">
        <f t="shared" si="3"/>
        <v>-22</v>
      </c>
      <c r="B30" t="str">
        <f t="shared" si="0"/>
        <v>Away win, tie, or Home win by 21 or less</v>
      </c>
      <c r="C30" t="str">
        <f t="shared" si="1"/>
        <v>Home win by 23 or more</v>
      </c>
      <c r="D30" t="str">
        <f t="shared" si="2"/>
        <v>Home win by 22</v>
      </c>
    </row>
    <row r="31" spans="1:4" x14ac:dyDescent="0.25">
      <c r="A31" s="2">
        <f t="shared" si="3"/>
        <v>-21</v>
      </c>
      <c r="B31" t="str">
        <f t="shared" si="0"/>
        <v>Away win, tie, or Home win by 20 or less</v>
      </c>
      <c r="C31" t="str">
        <f t="shared" si="1"/>
        <v>Home win by 22 or more</v>
      </c>
      <c r="D31" t="str">
        <f t="shared" si="2"/>
        <v>Home win by 21</v>
      </c>
    </row>
    <row r="32" spans="1:4" x14ac:dyDescent="0.25">
      <c r="A32" s="2">
        <f t="shared" si="3"/>
        <v>-20</v>
      </c>
      <c r="B32" t="str">
        <f t="shared" si="0"/>
        <v>Away win, tie, or Home win by 19 or less</v>
      </c>
      <c r="C32" t="str">
        <f t="shared" si="1"/>
        <v>Home win by 21 or more</v>
      </c>
      <c r="D32" t="str">
        <f t="shared" si="2"/>
        <v>Home win by 20</v>
      </c>
    </row>
    <row r="33" spans="1:4" x14ac:dyDescent="0.25">
      <c r="A33" s="2">
        <f t="shared" si="3"/>
        <v>-19</v>
      </c>
      <c r="B33" t="str">
        <f t="shared" si="0"/>
        <v>Away win, tie, or Home win by 18 or less</v>
      </c>
      <c r="C33" t="str">
        <f t="shared" si="1"/>
        <v>Home win by 20 or more</v>
      </c>
      <c r="D33" t="str">
        <f t="shared" si="2"/>
        <v>Home win by 19</v>
      </c>
    </row>
    <row r="34" spans="1:4" x14ac:dyDescent="0.25">
      <c r="A34" s="2">
        <f t="shared" si="3"/>
        <v>-18</v>
      </c>
      <c r="B34" t="str">
        <f t="shared" si="0"/>
        <v>Away win, tie, or Home win by 17 or less</v>
      </c>
      <c r="C34" t="str">
        <f t="shared" ref="C34:C51" si="4">"Home win by "&amp;ABS(A34)+1&amp;" or more"</f>
        <v>Home win by 19 or more</v>
      </c>
      <c r="D34" t="str">
        <f t="shared" ref="D34:D51" si="5">"Home win by "&amp;ABS(A34)</f>
        <v>Home win by 18</v>
      </c>
    </row>
    <row r="35" spans="1:4" x14ac:dyDescent="0.25">
      <c r="A35" s="2">
        <f t="shared" si="3"/>
        <v>-17</v>
      </c>
      <c r="B35" t="str">
        <f t="shared" si="0"/>
        <v>Away win, tie, or Home win by 16 or less</v>
      </c>
      <c r="C35" t="str">
        <f t="shared" si="4"/>
        <v>Home win by 18 or more</v>
      </c>
      <c r="D35" t="str">
        <f t="shared" si="5"/>
        <v>Home win by 17</v>
      </c>
    </row>
    <row r="36" spans="1:4" x14ac:dyDescent="0.25">
      <c r="A36" s="2">
        <f t="shared" si="3"/>
        <v>-16</v>
      </c>
      <c r="B36" t="str">
        <f t="shared" si="0"/>
        <v>Away win, tie, or Home win by 15 or less</v>
      </c>
      <c r="C36" t="str">
        <f t="shared" si="4"/>
        <v>Home win by 17 or more</v>
      </c>
      <c r="D36" t="str">
        <f t="shared" si="5"/>
        <v>Home win by 16</v>
      </c>
    </row>
    <row r="37" spans="1:4" x14ac:dyDescent="0.25">
      <c r="A37" s="2">
        <f t="shared" si="3"/>
        <v>-15</v>
      </c>
      <c r="B37" t="str">
        <f t="shared" si="0"/>
        <v>Away win, tie, or Home win by 14 or less</v>
      </c>
      <c r="C37" t="str">
        <f t="shared" si="4"/>
        <v>Home win by 16 or more</v>
      </c>
      <c r="D37" t="str">
        <f t="shared" si="5"/>
        <v>Home win by 15</v>
      </c>
    </row>
    <row r="38" spans="1:4" x14ac:dyDescent="0.25">
      <c r="A38" s="2">
        <f t="shared" si="3"/>
        <v>-14</v>
      </c>
      <c r="B38" t="str">
        <f t="shared" si="0"/>
        <v>Away win, tie, or Home win by 13 or less</v>
      </c>
      <c r="C38" t="str">
        <f t="shared" si="4"/>
        <v>Home win by 15 or more</v>
      </c>
      <c r="D38" t="str">
        <f t="shared" si="5"/>
        <v>Home win by 14</v>
      </c>
    </row>
    <row r="39" spans="1:4" x14ac:dyDescent="0.25">
      <c r="A39" s="2">
        <f t="shared" si="3"/>
        <v>-13</v>
      </c>
      <c r="B39" t="str">
        <f t="shared" si="0"/>
        <v>Away win, tie, or Home win by 12 or less</v>
      </c>
      <c r="C39" t="str">
        <f t="shared" si="4"/>
        <v>Home win by 14 or more</v>
      </c>
      <c r="D39" t="str">
        <f t="shared" si="5"/>
        <v>Home win by 13</v>
      </c>
    </row>
    <row r="40" spans="1:4" x14ac:dyDescent="0.25">
      <c r="A40" s="2">
        <f t="shared" si="3"/>
        <v>-12</v>
      </c>
      <c r="B40" t="str">
        <f t="shared" si="0"/>
        <v>Away win, tie, or Home win by 11 or less</v>
      </c>
      <c r="C40" t="str">
        <f t="shared" si="4"/>
        <v>Home win by 13 or more</v>
      </c>
      <c r="D40" t="str">
        <f t="shared" si="5"/>
        <v>Home win by 12</v>
      </c>
    </row>
    <row r="41" spans="1:4" x14ac:dyDescent="0.25">
      <c r="A41" s="2">
        <f t="shared" si="3"/>
        <v>-11</v>
      </c>
      <c r="B41" t="str">
        <f t="shared" si="0"/>
        <v>Away win, tie, or Home win by 10 or less</v>
      </c>
      <c r="C41" t="str">
        <f t="shared" si="4"/>
        <v>Home win by 12 or more</v>
      </c>
      <c r="D41" t="str">
        <f t="shared" si="5"/>
        <v>Home win by 11</v>
      </c>
    </row>
    <row r="42" spans="1:4" x14ac:dyDescent="0.25">
      <c r="A42" s="2">
        <f t="shared" si="3"/>
        <v>-10</v>
      </c>
      <c r="B42" t="str">
        <f t="shared" si="0"/>
        <v>Away win, tie, or Home win by 9 or less</v>
      </c>
      <c r="C42" t="str">
        <f t="shared" si="4"/>
        <v>Home win by 11 or more</v>
      </c>
      <c r="D42" t="str">
        <f t="shared" si="5"/>
        <v>Home win by 10</v>
      </c>
    </row>
    <row r="43" spans="1:4" x14ac:dyDescent="0.25">
      <c r="A43" s="2">
        <f t="shared" si="3"/>
        <v>-9</v>
      </c>
      <c r="B43" t="str">
        <f t="shared" si="0"/>
        <v>Away win, tie, or Home win by 8 or less</v>
      </c>
      <c r="C43" t="str">
        <f t="shared" si="4"/>
        <v>Home win by 10 or more</v>
      </c>
      <c r="D43" t="str">
        <f t="shared" si="5"/>
        <v>Home win by 9</v>
      </c>
    </row>
    <row r="44" spans="1:4" x14ac:dyDescent="0.25">
      <c r="A44" s="2">
        <f t="shared" si="3"/>
        <v>-8</v>
      </c>
      <c r="B44" t="str">
        <f t="shared" si="0"/>
        <v>Away win, tie, or Home win by 7 or less</v>
      </c>
      <c r="C44" t="str">
        <f t="shared" si="4"/>
        <v>Home win by 9 or more</v>
      </c>
      <c r="D44" t="str">
        <f t="shared" si="5"/>
        <v>Home win by 8</v>
      </c>
    </row>
    <row r="45" spans="1:4" x14ac:dyDescent="0.25">
      <c r="A45" s="2">
        <f t="shared" si="3"/>
        <v>-7</v>
      </c>
      <c r="B45" t="str">
        <f t="shared" si="0"/>
        <v>Away win, tie, or Home win by 6 or less</v>
      </c>
      <c r="C45" t="str">
        <f t="shared" si="4"/>
        <v>Home win by 8 or more</v>
      </c>
      <c r="D45" t="str">
        <f t="shared" si="5"/>
        <v>Home win by 7</v>
      </c>
    </row>
    <row r="46" spans="1:4" x14ac:dyDescent="0.25">
      <c r="A46" s="2">
        <f t="shared" si="3"/>
        <v>-6</v>
      </c>
      <c r="B46" t="str">
        <f t="shared" si="0"/>
        <v>Away win, tie, or Home win by 5 or less</v>
      </c>
      <c r="C46" t="str">
        <f t="shared" si="4"/>
        <v>Home win by 7 or more</v>
      </c>
      <c r="D46" t="str">
        <f t="shared" si="5"/>
        <v>Home win by 6</v>
      </c>
    </row>
    <row r="47" spans="1:4" x14ac:dyDescent="0.25">
      <c r="A47" s="2">
        <f t="shared" si="3"/>
        <v>-5</v>
      </c>
      <c r="B47" t="str">
        <f t="shared" si="0"/>
        <v>Away win, tie, or Home win by 4 or less</v>
      </c>
      <c r="C47" t="str">
        <f t="shared" si="4"/>
        <v>Home win by 6 or more</v>
      </c>
      <c r="D47" t="str">
        <f t="shared" si="5"/>
        <v>Home win by 5</v>
      </c>
    </row>
    <row r="48" spans="1:4" x14ac:dyDescent="0.25">
      <c r="A48" s="2">
        <f t="shared" si="3"/>
        <v>-4</v>
      </c>
      <c r="B48" t="str">
        <f t="shared" si="0"/>
        <v>Away win, tie, or Home win by 3 or less</v>
      </c>
      <c r="C48" t="str">
        <f t="shared" si="4"/>
        <v>Home win by 5 or more</v>
      </c>
      <c r="D48" t="str">
        <f t="shared" si="5"/>
        <v>Home win by 4</v>
      </c>
    </row>
    <row r="49" spans="1:4" x14ac:dyDescent="0.25">
      <c r="A49" s="2">
        <f t="shared" si="3"/>
        <v>-3</v>
      </c>
      <c r="B49" t="str">
        <f t="shared" si="0"/>
        <v>Away win, tie, or Home win by 2 or less</v>
      </c>
      <c r="C49" t="str">
        <f t="shared" si="4"/>
        <v>Home win by 4 or more</v>
      </c>
      <c r="D49" t="str">
        <f t="shared" si="5"/>
        <v>Home win by 3</v>
      </c>
    </row>
    <row r="50" spans="1:4" x14ac:dyDescent="0.25">
      <c r="A50" s="2">
        <f t="shared" si="3"/>
        <v>-2</v>
      </c>
      <c r="B50" t="s">
        <v>28</v>
      </c>
      <c r="C50" t="str">
        <f t="shared" si="4"/>
        <v>Home win by 3 or more</v>
      </c>
      <c r="D50" t="str">
        <f t="shared" si="5"/>
        <v>Home win by 2</v>
      </c>
    </row>
    <row r="51" spans="1:4" x14ac:dyDescent="0.25">
      <c r="A51" s="2">
        <f t="shared" si="3"/>
        <v>-1</v>
      </c>
      <c r="B51" t="s">
        <v>29</v>
      </c>
      <c r="C51" t="str">
        <f t="shared" si="4"/>
        <v>Home win by 2 or more</v>
      </c>
      <c r="D51" t="str">
        <f t="shared" si="5"/>
        <v>Home win by 1</v>
      </c>
    </row>
    <row r="52" spans="1:4" x14ac:dyDescent="0.25">
      <c r="A52" s="2">
        <f t="shared" si="3"/>
        <v>0</v>
      </c>
      <c r="B52" t="s">
        <v>26</v>
      </c>
      <c r="C52" t="s">
        <v>27</v>
      </c>
      <c r="D52" t="s">
        <v>30</v>
      </c>
    </row>
    <row r="53" spans="1:4" x14ac:dyDescent="0.25">
      <c r="A53" s="2">
        <f t="shared" si="3"/>
        <v>1</v>
      </c>
      <c r="B53" t="str">
        <f t="shared" ref="B53:B84" si="6">"Away win by "&amp;ABS(A53)+1&amp;" or more"</f>
        <v>Away win by 2 or more</v>
      </c>
      <c r="C53" t="s">
        <v>31</v>
      </c>
      <c r="D53" t="str">
        <f t="shared" ref="D53:D84" si="7">"Away win by "&amp;ABS(A53)</f>
        <v>Away win by 1</v>
      </c>
    </row>
    <row r="54" spans="1:4" x14ac:dyDescent="0.25">
      <c r="A54" s="2">
        <f t="shared" si="3"/>
        <v>2</v>
      </c>
      <c r="B54" t="str">
        <f t="shared" si="6"/>
        <v>Away win by 3 or more</v>
      </c>
      <c r="C54" t="s">
        <v>32</v>
      </c>
      <c r="D54" t="str">
        <f t="shared" si="7"/>
        <v>Away win by 2</v>
      </c>
    </row>
    <row r="55" spans="1:4" x14ac:dyDescent="0.25">
      <c r="A55" s="2">
        <f t="shared" si="3"/>
        <v>3</v>
      </c>
      <c r="B55" t="str">
        <f t="shared" si="6"/>
        <v>Away win by 4 or more</v>
      </c>
      <c r="C55" t="str">
        <f t="shared" ref="C55:C102" si="8">"Home win, tie, or Away win by "&amp;ABS(A55)-1&amp;" or less"</f>
        <v>Home win, tie, or Away win by 2 or less</v>
      </c>
      <c r="D55" t="str">
        <f t="shared" si="7"/>
        <v>Away win by 3</v>
      </c>
    </row>
    <row r="56" spans="1:4" x14ac:dyDescent="0.25">
      <c r="A56" s="2">
        <f t="shared" si="3"/>
        <v>4</v>
      </c>
      <c r="B56" t="str">
        <f t="shared" si="6"/>
        <v>Away win by 5 or more</v>
      </c>
      <c r="C56" t="str">
        <f t="shared" si="8"/>
        <v>Home win, tie, or Away win by 3 or less</v>
      </c>
      <c r="D56" t="str">
        <f t="shared" si="7"/>
        <v>Away win by 4</v>
      </c>
    </row>
    <row r="57" spans="1:4" x14ac:dyDescent="0.25">
      <c r="A57" s="2">
        <f t="shared" si="3"/>
        <v>5</v>
      </c>
      <c r="B57" t="str">
        <f t="shared" si="6"/>
        <v>Away win by 6 or more</v>
      </c>
      <c r="C57" t="str">
        <f t="shared" si="8"/>
        <v>Home win, tie, or Away win by 4 or less</v>
      </c>
      <c r="D57" t="str">
        <f t="shared" si="7"/>
        <v>Away win by 5</v>
      </c>
    </row>
    <row r="58" spans="1:4" x14ac:dyDescent="0.25">
      <c r="A58" s="2">
        <f t="shared" si="3"/>
        <v>6</v>
      </c>
      <c r="B58" t="str">
        <f t="shared" si="6"/>
        <v>Away win by 7 or more</v>
      </c>
      <c r="C58" t="str">
        <f t="shared" si="8"/>
        <v>Home win, tie, or Away win by 5 or less</v>
      </c>
      <c r="D58" t="str">
        <f t="shared" si="7"/>
        <v>Away win by 6</v>
      </c>
    </row>
    <row r="59" spans="1:4" x14ac:dyDescent="0.25">
      <c r="A59" s="2">
        <f t="shared" si="3"/>
        <v>7</v>
      </c>
      <c r="B59" t="str">
        <f t="shared" si="6"/>
        <v>Away win by 8 or more</v>
      </c>
      <c r="C59" t="str">
        <f t="shared" si="8"/>
        <v>Home win, tie, or Away win by 6 or less</v>
      </c>
      <c r="D59" t="str">
        <f t="shared" si="7"/>
        <v>Away win by 7</v>
      </c>
    </row>
    <row r="60" spans="1:4" x14ac:dyDescent="0.25">
      <c r="A60" s="2">
        <f t="shared" si="3"/>
        <v>8</v>
      </c>
      <c r="B60" t="str">
        <f t="shared" si="6"/>
        <v>Away win by 9 or more</v>
      </c>
      <c r="C60" t="str">
        <f t="shared" si="8"/>
        <v>Home win, tie, or Away win by 7 or less</v>
      </c>
      <c r="D60" t="str">
        <f t="shared" si="7"/>
        <v>Away win by 8</v>
      </c>
    </row>
    <row r="61" spans="1:4" x14ac:dyDescent="0.25">
      <c r="A61" s="2">
        <f t="shared" si="3"/>
        <v>9</v>
      </c>
      <c r="B61" t="str">
        <f t="shared" si="6"/>
        <v>Away win by 10 or more</v>
      </c>
      <c r="C61" t="str">
        <f t="shared" si="8"/>
        <v>Home win, tie, or Away win by 8 or less</v>
      </c>
      <c r="D61" t="str">
        <f t="shared" si="7"/>
        <v>Away win by 9</v>
      </c>
    </row>
    <row r="62" spans="1:4" x14ac:dyDescent="0.25">
      <c r="A62" s="2">
        <f t="shared" si="3"/>
        <v>10</v>
      </c>
      <c r="B62" t="str">
        <f t="shared" si="6"/>
        <v>Away win by 11 or more</v>
      </c>
      <c r="C62" t="str">
        <f t="shared" si="8"/>
        <v>Home win, tie, or Away win by 9 or less</v>
      </c>
      <c r="D62" t="str">
        <f t="shared" si="7"/>
        <v>Away win by 10</v>
      </c>
    </row>
    <row r="63" spans="1:4" x14ac:dyDescent="0.25">
      <c r="A63" s="2">
        <f t="shared" si="3"/>
        <v>11</v>
      </c>
      <c r="B63" t="str">
        <f t="shared" si="6"/>
        <v>Away win by 12 or more</v>
      </c>
      <c r="C63" t="str">
        <f t="shared" si="8"/>
        <v>Home win, tie, or Away win by 10 or less</v>
      </c>
      <c r="D63" t="str">
        <f t="shared" si="7"/>
        <v>Away win by 11</v>
      </c>
    </row>
    <row r="64" spans="1:4" x14ac:dyDescent="0.25">
      <c r="A64" s="2">
        <f t="shared" si="3"/>
        <v>12</v>
      </c>
      <c r="B64" t="str">
        <f t="shared" si="6"/>
        <v>Away win by 13 or more</v>
      </c>
      <c r="C64" t="str">
        <f t="shared" si="8"/>
        <v>Home win, tie, or Away win by 11 or less</v>
      </c>
      <c r="D64" t="str">
        <f t="shared" si="7"/>
        <v>Away win by 12</v>
      </c>
    </row>
    <row r="65" spans="1:4" x14ac:dyDescent="0.25">
      <c r="A65" s="2">
        <f t="shared" si="3"/>
        <v>13</v>
      </c>
      <c r="B65" t="str">
        <f t="shared" si="6"/>
        <v>Away win by 14 or more</v>
      </c>
      <c r="C65" t="str">
        <f t="shared" si="8"/>
        <v>Home win, tie, or Away win by 12 or less</v>
      </c>
      <c r="D65" t="str">
        <f t="shared" si="7"/>
        <v>Away win by 13</v>
      </c>
    </row>
    <row r="66" spans="1:4" x14ac:dyDescent="0.25">
      <c r="A66" s="2">
        <f t="shared" si="3"/>
        <v>14</v>
      </c>
      <c r="B66" t="str">
        <f t="shared" si="6"/>
        <v>Away win by 15 or more</v>
      </c>
      <c r="C66" t="str">
        <f t="shared" si="8"/>
        <v>Home win, tie, or Away win by 13 or less</v>
      </c>
      <c r="D66" t="str">
        <f t="shared" si="7"/>
        <v>Away win by 14</v>
      </c>
    </row>
    <row r="67" spans="1:4" x14ac:dyDescent="0.25">
      <c r="A67" s="2">
        <f t="shared" si="3"/>
        <v>15</v>
      </c>
      <c r="B67" t="str">
        <f t="shared" si="6"/>
        <v>Away win by 16 or more</v>
      </c>
      <c r="C67" t="str">
        <f t="shared" si="8"/>
        <v>Home win, tie, or Away win by 14 or less</v>
      </c>
      <c r="D67" t="str">
        <f t="shared" si="7"/>
        <v>Away win by 15</v>
      </c>
    </row>
    <row r="68" spans="1:4" x14ac:dyDescent="0.25">
      <c r="A68" s="2">
        <f t="shared" ref="A68:A102" si="9">A67+1</f>
        <v>16</v>
      </c>
      <c r="B68" t="str">
        <f t="shared" si="6"/>
        <v>Away win by 17 or more</v>
      </c>
      <c r="C68" t="str">
        <f t="shared" si="8"/>
        <v>Home win, tie, or Away win by 15 or less</v>
      </c>
      <c r="D68" t="str">
        <f t="shared" si="7"/>
        <v>Away win by 16</v>
      </c>
    </row>
    <row r="69" spans="1:4" x14ac:dyDescent="0.25">
      <c r="A69" s="2">
        <f t="shared" si="9"/>
        <v>17</v>
      </c>
      <c r="B69" t="str">
        <f t="shared" si="6"/>
        <v>Away win by 18 or more</v>
      </c>
      <c r="C69" t="str">
        <f t="shared" si="8"/>
        <v>Home win, tie, or Away win by 16 or less</v>
      </c>
      <c r="D69" t="str">
        <f t="shared" si="7"/>
        <v>Away win by 17</v>
      </c>
    </row>
    <row r="70" spans="1:4" x14ac:dyDescent="0.25">
      <c r="A70" s="2">
        <f t="shared" si="9"/>
        <v>18</v>
      </c>
      <c r="B70" t="str">
        <f t="shared" si="6"/>
        <v>Away win by 19 or more</v>
      </c>
      <c r="C70" t="str">
        <f t="shared" si="8"/>
        <v>Home win, tie, or Away win by 17 or less</v>
      </c>
      <c r="D70" t="str">
        <f t="shared" si="7"/>
        <v>Away win by 18</v>
      </c>
    </row>
    <row r="71" spans="1:4" x14ac:dyDescent="0.25">
      <c r="A71" s="2">
        <f t="shared" si="9"/>
        <v>19</v>
      </c>
      <c r="B71" t="str">
        <f t="shared" si="6"/>
        <v>Away win by 20 or more</v>
      </c>
      <c r="C71" t="str">
        <f t="shared" si="8"/>
        <v>Home win, tie, or Away win by 18 or less</v>
      </c>
      <c r="D71" t="str">
        <f t="shared" si="7"/>
        <v>Away win by 19</v>
      </c>
    </row>
    <row r="72" spans="1:4" x14ac:dyDescent="0.25">
      <c r="A72" s="2">
        <f t="shared" si="9"/>
        <v>20</v>
      </c>
      <c r="B72" t="str">
        <f t="shared" si="6"/>
        <v>Away win by 21 or more</v>
      </c>
      <c r="C72" t="str">
        <f t="shared" si="8"/>
        <v>Home win, tie, or Away win by 19 or less</v>
      </c>
      <c r="D72" t="str">
        <f t="shared" si="7"/>
        <v>Away win by 20</v>
      </c>
    </row>
    <row r="73" spans="1:4" x14ac:dyDescent="0.25">
      <c r="A73" s="2">
        <f t="shared" si="9"/>
        <v>21</v>
      </c>
      <c r="B73" t="str">
        <f t="shared" si="6"/>
        <v>Away win by 22 or more</v>
      </c>
      <c r="C73" t="str">
        <f t="shared" si="8"/>
        <v>Home win, tie, or Away win by 20 or less</v>
      </c>
      <c r="D73" t="str">
        <f t="shared" si="7"/>
        <v>Away win by 21</v>
      </c>
    </row>
    <row r="74" spans="1:4" x14ac:dyDescent="0.25">
      <c r="A74" s="2">
        <f t="shared" si="9"/>
        <v>22</v>
      </c>
      <c r="B74" t="str">
        <f t="shared" si="6"/>
        <v>Away win by 23 or more</v>
      </c>
      <c r="C74" t="str">
        <f t="shared" si="8"/>
        <v>Home win, tie, or Away win by 21 or less</v>
      </c>
      <c r="D74" t="str">
        <f t="shared" si="7"/>
        <v>Away win by 22</v>
      </c>
    </row>
    <row r="75" spans="1:4" x14ac:dyDescent="0.25">
      <c r="A75" s="2">
        <f t="shared" si="9"/>
        <v>23</v>
      </c>
      <c r="B75" t="str">
        <f t="shared" si="6"/>
        <v>Away win by 24 or more</v>
      </c>
      <c r="C75" t="str">
        <f t="shared" si="8"/>
        <v>Home win, tie, or Away win by 22 or less</v>
      </c>
      <c r="D75" t="str">
        <f t="shared" si="7"/>
        <v>Away win by 23</v>
      </c>
    </row>
    <row r="76" spans="1:4" x14ac:dyDescent="0.25">
      <c r="A76" s="2">
        <f t="shared" si="9"/>
        <v>24</v>
      </c>
      <c r="B76" t="str">
        <f t="shared" si="6"/>
        <v>Away win by 25 or more</v>
      </c>
      <c r="C76" t="str">
        <f t="shared" si="8"/>
        <v>Home win, tie, or Away win by 23 or less</v>
      </c>
      <c r="D76" t="str">
        <f t="shared" si="7"/>
        <v>Away win by 24</v>
      </c>
    </row>
    <row r="77" spans="1:4" x14ac:dyDescent="0.25">
      <c r="A77" s="2">
        <f t="shared" si="9"/>
        <v>25</v>
      </c>
      <c r="B77" t="str">
        <f t="shared" si="6"/>
        <v>Away win by 26 or more</v>
      </c>
      <c r="C77" t="str">
        <f t="shared" si="8"/>
        <v>Home win, tie, or Away win by 24 or less</v>
      </c>
      <c r="D77" t="str">
        <f t="shared" si="7"/>
        <v>Away win by 25</v>
      </c>
    </row>
    <row r="78" spans="1:4" x14ac:dyDescent="0.25">
      <c r="A78" s="2">
        <f t="shared" si="9"/>
        <v>26</v>
      </c>
      <c r="B78" t="str">
        <f t="shared" si="6"/>
        <v>Away win by 27 or more</v>
      </c>
      <c r="C78" t="str">
        <f t="shared" si="8"/>
        <v>Home win, tie, or Away win by 25 or less</v>
      </c>
      <c r="D78" t="str">
        <f t="shared" si="7"/>
        <v>Away win by 26</v>
      </c>
    </row>
    <row r="79" spans="1:4" x14ac:dyDescent="0.25">
      <c r="A79" s="2">
        <f t="shared" si="9"/>
        <v>27</v>
      </c>
      <c r="B79" t="str">
        <f t="shared" si="6"/>
        <v>Away win by 28 or more</v>
      </c>
      <c r="C79" t="str">
        <f t="shared" si="8"/>
        <v>Home win, tie, or Away win by 26 or less</v>
      </c>
      <c r="D79" t="str">
        <f t="shared" si="7"/>
        <v>Away win by 27</v>
      </c>
    </row>
    <row r="80" spans="1:4" x14ac:dyDescent="0.25">
      <c r="A80" s="2">
        <f t="shared" si="9"/>
        <v>28</v>
      </c>
      <c r="B80" t="str">
        <f t="shared" si="6"/>
        <v>Away win by 29 or more</v>
      </c>
      <c r="C80" t="str">
        <f t="shared" si="8"/>
        <v>Home win, tie, or Away win by 27 or less</v>
      </c>
      <c r="D80" t="str">
        <f t="shared" si="7"/>
        <v>Away win by 28</v>
      </c>
    </row>
    <row r="81" spans="1:4" x14ac:dyDescent="0.25">
      <c r="A81" s="2">
        <f t="shared" si="9"/>
        <v>29</v>
      </c>
      <c r="B81" t="str">
        <f t="shared" si="6"/>
        <v>Away win by 30 or more</v>
      </c>
      <c r="C81" t="str">
        <f t="shared" si="8"/>
        <v>Home win, tie, or Away win by 28 or less</v>
      </c>
      <c r="D81" t="str">
        <f t="shared" si="7"/>
        <v>Away win by 29</v>
      </c>
    </row>
    <row r="82" spans="1:4" x14ac:dyDescent="0.25">
      <c r="A82" s="2">
        <f t="shared" si="9"/>
        <v>30</v>
      </c>
      <c r="B82" t="str">
        <f t="shared" si="6"/>
        <v>Away win by 31 or more</v>
      </c>
      <c r="C82" t="str">
        <f t="shared" si="8"/>
        <v>Home win, tie, or Away win by 29 or less</v>
      </c>
      <c r="D82" t="str">
        <f t="shared" si="7"/>
        <v>Away win by 30</v>
      </c>
    </row>
    <row r="83" spans="1:4" x14ac:dyDescent="0.25">
      <c r="A83" s="2">
        <f t="shared" si="9"/>
        <v>31</v>
      </c>
      <c r="B83" t="str">
        <f t="shared" si="6"/>
        <v>Away win by 32 or more</v>
      </c>
      <c r="C83" t="str">
        <f t="shared" si="8"/>
        <v>Home win, tie, or Away win by 30 or less</v>
      </c>
      <c r="D83" t="str">
        <f t="shared" si="7"/>
        <v>Away win by 31</v>
      </c>
    </row>
    <row r="84" spans="1:4" x14ac:dyDescent="0.25">
      <c r="A84" s="2">
        <f t="shared" si="9"/>
        <v>32</v>
      </c>
      <c r="B84" t="str">
        <f t="shared" si="6"/>
        <v>Away win by 33 or more</v>
      </c>
      <c r="C84" t="str">
        <f t="shared" si="8"/>
        <v>Home win, tie, or Away win by 31 or less</v>
      </c>
      <c r="D84" t="str">
        <f t="shared" si="7"/>
        <v>Away win by 32</v>
      </c>
    </row>
    <row r="85" spans="1:4" x14ac:dyDescent="0.25">
      <c r="A85" s="2">
        <f t="shared" si="9"/>
        <v>33</v>
      </c>
      <c r="B85" t="str">
        <f t="shared" ref="B85:B102" si="10">"Away win by "&amp;ABS(A85)+1&amp;" or more"</f>
        <v>Away win by 34 or more</v>
      </c>
      <c r="C85" t="str">
        <f t="shared" si="8"/>
        <v>Home win, tie, or Away win by 32 or less</v>
      </c>
      <c r="D85" t="str">
        <f t="shared" ref="D85:D102" si="11">"Away win by "&amp;ABS(A85)</f>
        <v>Away win by 33</v>
      </c>
    </row>
    <row r="86" spans="1:4" x14ac:dyDescent="0.25">
      <c r="A86" s="2">
        <f t="shared" si="9"/>
        <v>34</v>
      </c>
      <c r="B86" t="str">
        <f t="shared" si="10"/>
        <v>Away win by 35 or more</v>
      </c>
      <c r="C86" t="str">
        <f t="shared" si="8"/>
        <v>Home win, tie, or Away win by 33 or less</v>
      </c>
      <c r="D86" t="str">
        <f t="shared" si="11"/>
        <v>Away win by 34</v>
      </c>
    </row>
    <row r="87" spans="1:4" x14ac:dyDescent="0.25">
      <c r="A87" s="2">
        <f t="shared" si="9"/>
        <v>35</v>
      </c>
      <c r="B87" t="str">
        <f t="shared" si="10"/>
        <v>Away win by 36 or more</v>
      </c>
      <c r="C87" t="str">
        <f t="shared" si="8"/>
        <v>Home win, tie, or Away win by 34 or less</v>
      </c>
      <c r="D87" t="str">
        <f t="shared" si="11"/>
        <v>Away win by 35</v>
      </c>
    </row>
    <row r="88" spans="1:4" x14ac:dyDescent="0.25">
      <c r="A88" s="2">
        <f t="shared" si="9"/>
        <v>36</v>
      </c>
      <c r="B88" t="str">
        <f t="shared" si="10"/>
        <v>Away win by 37 or more</v>
      </c>
      <c r="C88" t="str">
        <f t="shared" si="8"/>
        <v>Home win, tie, or Away win by 35 or less</v>
      </c>
      <c r="D88" t="str">
        <f t="shared" si="11"/>
        <v>Away win by 36</v>
      </c>
    </row>
    <row r="89" spans="1:4" x14ac:dyDescent="0.25">
      <c r="A89" s="2">
        <f t="shared" si="9"/>
        <v>37</v>
      </c>
      <c r="B89" t="str">
        <f t="shared" si="10"/>
        <v>Away win by 38 or more</v>
      </c>
      <c r="C89" t="str">
        <f t="shared" si="8"/>
        <v>Home win, tie, or Away win by 36 or less</v>
      </c>
      <c r="D89" t="str">
        <f t="shared" si="11"/>
        <v>Away win by 37</v>
      </c>
    </row>
    <row r="90" spans="1:4" x14ac:dyDescent="0.25">
      <c r="A90" s="2">
        <f t="shared" si="9"/>
        <v>38</v>
      </c>
      <c r="B90" t="str">
        <f t="shared" si="10"/>
        <v>Away win by 39 or more</v>
      </c>
      <c r="C90" t="str">
        <f t="shared" si="8"/>
        <v>Home win, tie, or Away win by 37 or less</v>
      </c>
      <c r="D90" t="str">
        <f t="shared" si="11"/>
        <v>Away win by 38</v>
      </c>
    </row>
    <row r="91" spans="1:4" x14ac:dyDescent="0.25">
      <c r="A91" s="2">
        <f t="shared" si="9"/>
        <v>39</v>
      </c>
      <c r="B91" t="str">
        <f t="shared" si="10"/>
        <v>Away win by 40 or more</v>
      </c>
      <c r="C91" t="str">
        <f t="shared" si="8"/>
        <v>Home win, tie, or Away win by 38 or less</v>
      </c>
      <c r="D91" t="str">
        <f t="shared" si="11"/>
        <v>Away win by 39</v>
      </c>
    </row>
    <row r="92" spans="1:4" x14ac:dyDescent="0.25">
      <c r="A92" s="2">
        <f t="shared" si="9"/>
        <v>40</v>
      </c>
      <c r="B92" t="str">
        <f t="shared" si="10"/>
        <v>Away win by 41 or more</v>
      </c>
      <c r="C92" t="str">
        <f t="shared" si="8"/>
        <v>Home win, tie, or Away win by 39 or less</v>
      </c>
      <c r="D92" t="str">
        <f t="shared" si="11"/>
        <v>Away win by 40</v>
      </c>
    </row>
    <row r="93" spans="1:4" x14ac:dyDescent="0.25">
      <c r="A93" s="2">
        <f t="shared" si="9"/>
        <v>41</v>
      </c>
      <c r="B93" t="str">
        <f t="shared" si="10"/>
        <v>Away win by 42 or more</v>
      </c>
      <c r="C93" t="str">
        <f t="shared" si="8"/>
        <v>Home win, tie, or Away win by 40 or less</v>
      </c>
      <c r="D93" t="str">
        <f t="shared" si="11"/>
        <v>Away win by 41</v>
      </c>
    </row>
    <row r="94" spans="1:4" x14ac:dyDescent="0.25">
      <c r="A94" s="2">
        <f t="shared" si="9"/>
        <v>42</v>
      </c>
      <c r="B94" t="str">
        <f t="shared" si="10"/>
        <v>Away win by 43 or more</v>
      </c>
      <c r="C94" t="str">
        <f t="shared" si="8"/>
        <v>Home win, tie, or Away win by 41 or less</v>
      </c>
      <c r="D94" t="str">
        <f t="shared" si="11"/>
        <v>Away win by 42</v>
      </c>
    </row>
    <row r="95" spans="1:4" x14ac:dyDescent="0.25">
      <c r="A95" s="2">
        <f t="shared" si="9"/>
        <v>43</v>
      </c>
      <c r="B95" t="str">
        <f t="shared" si="10"/>
        <v>Away win by 44 or more</v>
      </c>
      <c r="C95" t="str">
        <f t="shared" si="8"/>
        <v>Home win, tie, or Away win by 42 or less</v>
      </c>
      <c r="D95" t="str">
        <f t="shared" si="11"/>
        <v>Away win by 43</v>
      </c>
    </row>
    <row r="96" spans="1:4" x14ac:dyDescent="0.25">
      <c r="A96" s="2">
        <f t="shared" si="9"/>
        <v>44</v>
      </c>
      <c r="B96" t="str">
        <f t="shared" si="10"/>
        <v>Away win by 45 or more</v>
      </c>
      <c r="C96" t="str">
        <f t="shared" si="8"/>
        <v>Home win, tie, or Away win by 43 or less</v>
      </c>
      <c r="D96" t="str">
        <f t="shared" si="11"/>
        <v>Away win by 44</v>
      </c>
    </row>
    <row r="97" spans="1:4" x14ac:dyDescent="0.25">
      <c r="A97" s="2">
        <f t="shared" si="9"/>
        <v>45</v>
      </c>
      <c r="B97" t="str">
        <f t="shared" si="10"/>
        <v>Away win by 46 or more</v>
      </c>
      <c r="C97" t="str">
        <f t="shared" si="8"/>
        <v>Home win, tie, or Away win by 44 or less</v>
      </c>
      <c r="D97" t="str">
        <f t="shared" si="11"/>
        <v>Away win by 45</v>
      </c>
    </row>
    <row r="98" spans="1:4" x14ac:dyDescent="0.25">
      <c r="A98" s="2">
        <f t="shared" si="9"/>
        <v>46</v>
      </c>
      <c r="B98" t="str">
        <f t="shared" si="10"/>
        <v>Away win by 47 or more</v>
      </c>
      <c r="C98" t="str">
        <f t="shared" si="8"/>
        <v>Home win, tie, or Away win by 45 or less</v>
      </c>
      <c r="D98" t="str">
        <f t="shared" si="11"/>
        <v>Away win by 46</v>
      </c>
    </row>
    <row r="99" spans="1:4" x14ac:dyDescent="0.25">
      <c r="A99" s="2">
        <f t="shared" si="9"/>
        <v>47</v>
      </c>
      <c r="B99" t="str">
        <f t="shared" si="10"/>
        <v>Away win by 48 or more</v>
      </c>
      <c r="C99" t="str">
        <f t="shared" si="8"/>
        <v>Home win, tie, or Away win by 46 or less</v>
      </c>
      <c r="D99" t="str">
        <f t="shared" si="11"/>
        <v>Away win by 47</v>
      </c>
    </row>
    <row r="100" spans="1:4" x14ac:dyDescent="0.25">
      <c r="A100" s="2">
        <f t="shared" si="9"/>
        <v>48</v>
      </c>
      <c r="B100" t="str">
        <f t="shared" si="10"/>
        <v>Away win by 49 or more</v>
      </c>
      <c r="C100" t="str">
        <f t="shared" si="8"/>
        <v>Home win, tie, or Away win by 47 or less</v>
      </c>
      <c r="D100" t="str">
        <f t="shared" si="11"/>
        <v>Away win by 48</v>
      </c>
    </row>
    <row r="101" spans="1:4" x14ac:dyDescent="0.25">
      <c r="A101" s="2">
        <f t="shared" si="9"/>
        <v>49</v>
      </c>
      <c r="B101" t="str">
        <f t="shared" si="10"/>
        <v>Away win by 50 or more</v>
      </c>
      <c r="C101" t="str">
        <f t="shared" si="8"/>
        <v>Home win, tie, or Away win by 48 or less</v>
      </c>
      <c r="D101" t="str">
        <f t="shared" si="11"/>
        <v>Away win by 49</v>
      </c>
    </row>
    <row r="102" spans="1:4" x14ac:dyDescent="0.25">
      <c r="A102" s="2">
        <f t="shared" si="9"/>
        <v>50</v>
      </c>
      <c r="B102" t="str">
        <f t="shared" si="10"/>
        <v>Away win by 51 or more</v>
      </c>
      <c r="C102" t="str">
        <f t="shared" si="8"/>
        <v>Home win, tie, or Away win by 49 or less</v>
      </c>
      <c r="D102" t="str">
        <f t="shared" si="11"/>
        <v>Away win by 50</v>
      </c>
    </row>
    <row r="104" spans="1:4" x14ac:dyDescent="0.25">
      <c r="A104" s="2">
        <v>-50.5</v>
      </c>
      <c r="B104" t="str">
        <f t="shared" ref="B104:B135" si="12">"Away win, tie, or Home win by "&amp;ABS(INT(A104))-1&amp;" or less"</f>
        <v>Away win, tie, or Home win by 50 or less</v>
      </c>
      <c r="C104" t="str">
        <f t="shared" ref="C104:C135" si="13">"Home win by "&amp;ABS(INT(A104))&amp;" or more"</f>
        <v>Home win by 51 or more</v>
      </c>
      <c r="D104" t="str">
        <f t="shared" ref="D104:D135" si="14">impossible</f>
        <v>Michigan can win a game in regular time, not make-believe time…</v>
      </c>
    </row>
    <row r="105" spans="1:4" x14ac:dyDescent="0.25">
      <c r="A105" s="2">
        <f>A104+1</f>
        <v>-49.5</v>
      </c>
      <c r="B105" t="str">
        <f t="shared" si="12"/>
        <v>Away win, tie, or Home win by 49 or less</v>
      </c>
      <c r="C105" t="str">
        <f t="shared" si="13"/>
        <v>Home win by 50 or more</v>
      </c>
      <c r="D105" t="str">
        <f t="shared" si="14"/>
        <v>Michigan can win a game in regular time, not make-believe time…</v>
      </c>
    </row>
    <row r="106" spans="1:4" x14ac:dyDescent="0.25">
      <c r="A106" s="2">
        <f t="shared" ref="A106:A169" si="15">A105+1</f>
        <v>-48.5</v>
      </c>
      <c r="B106" t="str">
        <f t="shared" si="12"/>
        <v>Away win, tie, or Home win by 48 or less</v>
      </c>
      <c r="C106" t="str">
        <f t="shared" si="13"/>
        <v>Home win by 49 or more</v>
      </c>
      <c r="D106" t="str">
        <f t="shared" si="14"/>
        <v>Michigan can win a game in regular time, not make-believe time…</v>
      </c>
    </row>
    <row r="107" spans="1:4" x14ac:dyDescent="0.25">
      <c r="A107" s="2">
        <f t="shared" si="15"/>
        <v>-47.5</v>
      </c>
      <c r="B107" t="str">
        <f t="shared" si="12"/>
        <v>Away win, tie, or Home win by 47 or less</v>
      </c>
      <c r="C107" t="str">
        <f t="shared" si="13"/>
        <v>Home win by 48 or more</v>
      </c>
      <c r="D107" t="str">
        <f t="shared" si="14"/>
        <v>Michigan can win a game in regular time, not make-believe time…</v>
      </c>
    </row>
    <row r="108" spans="1:4" x14ac:dyDescent="0.25">
      <c r="A108" s="2">
        <f t="shared" si="15"/>
        <v>-46.5</v>
      </c>
      <c r="B108" t="str">
        <f t="shared" si="12"/>
        <v>Away win, tie, or Home win by 46 or less</v>
      </c>
      <c r="C108" t="str">
        <f t="shared" si="13"/>
        <v>Home win by 47 or more</v>
      </c>
      <c r="D108" t="str">
        <f t="shared" si="14"/>
        <v>Michigan can win a game in regular time, not make-believe time…</v>
      </c>
    </row>
    <row r="109" spans="1:4" x14ac:dyDescent="0.25">
      <c r="A109" s="2">
        <f t="shared" si="15"/>
        <v>-45.5</v>
      </c>
      <c r="B109" t="str">
        <f t="shared" si="12"/>
        <v>Away win, tie, or Home win by 45 or less</v>
      </c>
      <c r="C109" t="str">
        <f t="shared" si="13"/>
        <v>Home win by 46 or more</v>
      </c>
      <c r="D109" t="str">
        <f t="shared" si="14"/>
        <v>Michigan can win a game in regular time, not make-believe time…</v>
      </c>
    </row>
    <row r="110" spans="1:4" x14ac:dyDescent="0.25">
      <c r="A110" s="2">
        <f t="shared" si="15"/>
        <v>-44.5</v>
      </c>
      <c r="B110" t="str">
        <f t="shared" si="12"/>
        <v>Away win, tie, or Home win by 44 or less</v>
      </c>
      <c r="C110" t="str">
        <f t="shared" si="13"/>
        <v>Home win by 45 or more</v>
      </c>
      <c r="D110" t="str">
        <f t="shared" si="14"/>
        <v>Michigan can win a game in regular time, not make-believe time…</v>
      </c>
    </row>
    <row r="111" spans="1:4" x14ac:dyDescent="0.25">
      <c r="A111" s="2">
        <f t="shared" si="15"/>
        <v>-43.5</v>
      </c>
      <c r="B111" t="str">
        <f t="shared" si="12"/>
        <v>Away win, tie, or Home win by 43 or less</v>
      </c>
      <c r="C111" t="str">
        <f t="shared" si="13"/>
        <v>Home win by 44 or more</v>
      </c>
      <c r="D111" t="str">
        <f t="shared" si="14"/>
        <v>Michigan can win a game in regular time, not make-believe time…</v>
      </c>
    </row>
    <row r="112" spans="1:4" x14ac:dyDescent="0.25">
      <c r="A112" s="2">
        <f t="shared" si="15"/>
        <v>-42.5</v>
      </c>
      <c r="B112" t="str">
        <f t="shared" si="12"/>
        <v>Away win, tie, or Home win by 42 or less</v>
      </c>
      <c r="C112" t="str">
        <f t="shared" si="13"/>
        <v>Home win by 43 or more</v>
      </c>
      <c r="D112" t="str">
        <f t="shared" si="14"/>
        <v>Michigan can win a game in regular time, not make-believe time…</v>
      </c>
    </row>
    <row r="113" spans="1:4" x14ac:dyDescent="0.25">
      <c r="A113" s="2">
        <f t="shared" si="15"/>
        <v>-41.5</v>
      </c>
      <c r="B113" t="str">
        <f t="shared" si="12"/>
        <v>Away win, tie, or Home win by 41 or less</v>
      </c>
      <c r="C113" t="str">
        <f t="shared" si="13"/>
        <v>Home win by 42 or more</v>
      </c>
      <c r="D113" t="str">
        <f t="shared" si="14"/>
        <v>Michigan can win a game in regular time, not make-believe time…</v>
      </c>
    </row>
    <row r="114" spans="1:4" x14ac:dyDescent="0.25">
      <c r="A114" s="2">
        <f t="shared" si="15"/>
        <v>-40.5</v>
      </c>
      <c r="B114" t="str">
        <f t="shared" si="12"/>
        <v>Away win, tie, or Home win by 40 or less</v>
      </c>
      <c r="C114" t="str">
        <f t="shared" si="13"/>
        <v>Home win by 41 or more</v>
      </c>
      <c r="D114" t="str">
        <f t="shared" si="14"/>
        <v>Michigan can win a game in regular time, not make-believe time…</v>
      </c>
    </row>
    <row r="115" spans="1:4" x14ac:dyDescent="0.25">
      <c r="A115" s="2">
        <f t="shared" si="15"/>
        <v>-39.5</v>
      </c>
      <c r="B115" t="str">
        <f t="shared" si="12"/>
        <v>Away win, tie, or Home win by 39 or less</v>
      </c>
      <c r="C115" t="str">
        <f t="shared" si="13"/>
        <v>Home win by 40 or more</v>
      </c>
      <c r="D115" t="str">
        <f t="shared" si="14"/>
        <v>Michigan can win a game in regular time, not make-believe time…</v>
      </c>
    </row>
    <row r="116" spans="1:4" x14ac:dyDescent="0.25">
      <c r="A116" s="2">
        <f t="shared" si="15"/>
        <v>-38.5</v>
      </c>
      <c r="B116" t="str">
        <f t="shared" si="12"/>
        <v>Away win, tie, or Home win by 38 or less</v>
      </c>
      <c r="C116" t="str">
        <f t="shared" si="13"/>
        <v>Home win by 39 or more</v>
      </c>
      <c r="D116" t="str">
        <f t="shared" si="14"/>
        <v>Michigan can win a game in regular time, not make-believe time…</v>
      </c>
    </row>
    <row r="117" spans="1:4" x14ac:dyDescent="0.25">
      <c r="A117" s="2">
        <f t="shared" si="15"/>
        <v>-37.5</v>
      </c>
      <c r="B117" t="str">
        <f t="shared" si="12"/>
        <v>Away win, tie, or Home win by 37 or less</v>
      </c>
      <c r="C117" t="str">
        <f t="shared" si="13"/>
        <v>Home win by 38 or more</v>
      </c>
      <c r="D117" t="str">
        <f t="shared" si="14"/>
        <v>Michigan can win a game in regular time, not make-believe time…</v>
      </c>
    </row>
    <row r="118" spans="1:4" x14ac:dyDescent="0.25">
      <c r="A118" s="2">
        <f t="shared" si="15"/>
        <v>-36.5</v>
      </c>
      <c r="B118" t="str">
        <f t="shared" si="12"/>
        <v>Away win, tie, or Home win by 36 or less</v>
      </c>
      <c r="C118" t="str">
        <f t="shared" si="13"/>
        <v>Home win by 37 or more</v>
      </c>
      <c r="D118" t="str">
        <f t="shared" si="14"/>
        <v>Michigan can win a game in regular time, not make-believe time…</v>
      </c>
    </row>
    <row r="119" spans="1:4" x14ac:dyDescent="0.25">
      <c r="A119" s="2">
        <f t="shared" si="15"/>
        <v>-35.5</v>
      </c>
      <c r="B119" t="str">
        <f t="shared" si="12"/>
        <v>Away win, tie, or Home win by 35 or less</v>
      </c>
      <c r="C119" t="str">
        <f t="shared" si="13"/>
        <v>Home win by 36 or more</v>
      </c>
      <c r="D119" t="str">
        <f t="shared" si="14"/>
        <v>Michigan can win a game in regular time, not make-believe time…</v>
      </c>
    </row>
    <row r="120" spans="1:4" x14ac:dyDescent="0.25">
      <c r="A120" s="2">
        <f t="shared" si="15"/>
        <v>-34.5</v>
      </c>
      <c r="B120" t="str">
        <f t="shared" si="12"/>
        <v>Away win, tie, or Home win by 34 or less</v>
      </c>
      <c r="C120" t="str">
        <f t="shared" si="13"/>
        <v>Home win by 35 or more</v>
      </c>
      <c r="D120" t="str">
        <f t="shared" si="14"/>
        <v>Michigan can win a game in regular time, not make-believe time…</v>
      </c>
    </row>
    <row r="121" spans="1:4" x14ac:dyDescent="0.25">
      <c r="A121" s="2">
        <f t="shared" si="15"/>
        <v>-33.5</v>
      </c>
      <c r="B121" t="str">
        <f t="shared" si="12"/>
        <v>Away win, tie, or Home win by 33 or less</v>
      </c>
      <c r="C121" t="str">
        <f t="shared" si="13"/>
        <v>Home win by 34 or more</v>
      </c>
      <c r="D121" t="str">
        <f t="shared" si="14"/>
        <v>Michigan can win a game in regular time, not make-believe time…</v>
      </c>
    </row>
    <row r="122" spans="1:4" x14ac:dyDescent="0.25">
      <c r="A122" s="2">
        <f t="shared" si="15"/>
        <v>-32.5</v>
      </c>
      <c r="B122" t="str">
        <f t="shared" si="12"/>
        <v>Away win, tie, or Home win by 32 or less</v>
      </c>
      <c r="C122" t="str">
        <f t="shared" si="13"/>
        <v>Home win by 33 or more</v>
      </c>
      <c r="D122" t="str">
        <f t="shared" si="14"/>
        <v>Michigan can win a game in regular time, not make-believe time…</v>
      </c>
    </row>
    <row r="123" spans="1:4" x14ac:dyDescent="0.25">
      <c r="A123" s="2">
        <f t="shared" si="15"/>
        <v>-31.5</v>
      </c>
      <c r="B123" t="str">
        <f t="shared" si="12"/>
        <v>Away win, tie, or Home win by 31 or less</v>
      </c>
      <c r="C123" t="str">
        <f t="shared" si="13"/>
        <v>Home win by 32 or more</v>
      </c>
      <c r="D123" t="str">
        <f t="shared" si="14"/>
        <v>Michigan can win a game in regular time, not make-believe time…</v>
      </c>
    </row>
    <row r="124" spans="1:4" x14ac:dyDescent="0.25">
      <c r="A124" s="2">
        <f t="shared" si="15"/>
        <v>-30.5</v>
      </c>
      <c r="B124" t="str">
        <f t="shared" si="12"/>
        <v>Away win, tie, or Home win by 30 or less</v>
      </c>
      <c r="C124" t="str">
        <f t="shared" si="13"/>
        <v>Home win by 31 or more</v>
      </c>
      <c r="D124" t="str">
        <f t="shared" si="14"/>
        <v>Michigan can win a game in regular time, not make-believe time…</v>
      </c>
    </row>
    <row r="125" spans="1:4" x14ac:dyDescent="0.25">
      <c r="A125" s="2">
        <f t="shared" si="15"/>
        <v>-29.5</v>
      </c>
      <c r="B125" t="str">
        <f t="shared" si="12"/>
        <v>Away win, tie, or Home win by 29 or less</v>
      </c>
      <c r="C125" t="str">
        <f t="shared" si="13"/>
        <v>Home win by 30 or more</v>
      </c>
      <c r="D125" t="str">
        <f t="shared" si="14"/>
        <v>Michigan can win a game in regular time, not make-believe time…</v>
      </c>
    </row>
    <row r="126" spans="1:4" x14ac:dyDescent="0.25">
      <c r="A126" s="2">
        <f t="shared" si="15"/>
        <v>-28.5</v>
      </c>
      <c r="B126" t="str">
        <f t="shared" si="12"/>
        <v>Away win, tie, or Home win by 28 or less</v>
      </c>
      <c r="C126" t="str">
        <f t="shared" si="13"/>
        <v>Home win by 29 or more</v>
      </c>
      <c r="D126" t="str">
        <f t="shared" si="14"/>
        <v>Michigan can win a game in regular time, not make-believe time…</v>
      </c>
    </row>
    <row r="127" spans="1:4" x14ac:dyDescent="0.25">
      <c r="A127" s="2">
        <f t="shared" si="15"/>
        <v>-27.5</v>
      </c>
      <c r="B127" t="str">
        <f t="shared" si="12"/>
        <v>Away win, tie, or Home win by 27 or less</v>
      </c>
      <c r="C127" t="str">
        <f t="shared" si="13"/>
        <v>Home win by 28 or more</v>
      </c>
      <c r="D127" t="str">
        <f t="shared" si="14"/>
        <v>Michigan can win a game in regular time, not make-believe time…</v>
      </c>
    </row>
    <row r="128" spans="1:4" x14ac:dyDescent="0.25">
      <c r="A128" s="2">
        <f t="shared" si="15"/>
        <v>-26.5</v>
      </c>
      <c r="B128" t="str">
        <f t="shared" si="12"/>
        <v>Away win, tie, or Home win by 26 or less</v>
      </c>
      <c r="C128" t="str">
        <f t="shared" si="13"/>
        <v>Home win by 27 or more</v>
      </c>
      <c r="D128" t="str">
        <f t="shared" si="14"/>
        <v>Michigan can win a game in regular time, not make-believe time…</v>
      </c>
    </row>
    <row r="129" spans="1:4" x14ac:dyDescent="0.25">
      <c r="A129" s="2">
        <f t="shared" si="15"/>
        <v>-25.5</v>
      </c>
      <c r="B129" t="str">
        <f t="shared" si="12"/>
        <v>Away win, tie, or Home win by 25 or less</v>
      </c>
      <c r="C129" t="str">
        <f t="shared" si="13"/>
        <v>Home win by 26 or more</v>
      </c>
      <c r="D129" t="str">
        <f t="shared" si="14"/>
        <v>Michigan can win a game in regular time, not make-believe time…</v>
      </c>
    </row>
    <row r="130" spans="1:4" x14ac:dyDescent="0.25">
      <c r="A130" s="2">
        <f t="shared" si="15"/>
        <v>-24.5</v>
      </c>
      <c r="B130" t="str">
        <f t="shared" si="12"/>
        <v>Away win, tie, or Home win by 24 or less</v>
      </c>
      <c r="C130" t="str">
        <f t="shared" si="13"/>
        <v>Home win by 25 or more</v>
      </c>
      <c r="D130" t="str">
        <f t="shared" si="14"/>
        <v>Michigan can win a game in regular time, not make-believe time…</v>
      </c>
    </row>
    <row r="131" spans="1:4" x14ac:dyDescent="0.25">
      <c r="A131" s="2">
        <f t="shared" si="15"/>
        <v>-23.5</v>
      </c>
      <c r="B131" t="str">
        <f t="shared" si="12"/>
        <v>Away win, tie, or Home win by 23 or less</v>
      </c>
      <c r="C131" t="str">
        <f t="shared" si="13"/>
        <v>Home win by 24 or more</v>
      </c>
      <c r="D131" t="str">
        <f t="shared" si="14"/>
        <v>Michigan can win a game in regular time, not make-believe time…</v>
      </c>
    </row>
    <row r="132" spans="1:4" x14ac:dyDescent="0.25">
      <c r="A132" s="2">
        <f t="shared" si="15"/>
        <v>-22.5</v>
      </c>
      <c r="B132" t="str">
        <f t="shared" si="12"/>
        <v>Away win, tie, or Home win by 22 or less</v>
      </c>
      <c r="C132" t="str">
        <f t="shared" si="13"/>
        <v>Home win by 23 or more</v>
      </c>
      <c r="D132" t="str">
        <f t="shared" si="14"/>
        <v>Michigan can win a game in regular time, not make-believe time…</v>
      </c>
    </row>
    <row r="133" spans="1:4" x14ac:dyDescent="0.25">
      <c r="A133" s="2">
        <f t="shared" si="15"/>
        <v>-21.5</v>
      </c>
      <c r="B133" t="str">
        <f t="shared" si="12"/>
        <v>Away win, tie, or Home win by 21 or less</v>
      </c>
      <c r="C133" t="str">
        <f t="shared" si="13"/>
        <v>Home win by 22 or more</v>
      </c>
      <c r="D133" t="str">
        <f t="shared" si="14"/>
        <v>Michigan can win a game in regular time, not make-believe time…</v>
      </c>
    </row>
    <row r="134" spans="1:4" x14ac:dyDescent="0.25">
      <c r="A134" s="2">
        <f t="shared" si="15"/>
        <v>-20.5</v>
      </c>
      <c r="B134" t="str">
        <f t="shared" si="12"/>
        <v>Away win, tie, or Home win by 20 or less</v>
      </c>
      <c r="C134" t="str">
        <f t="shared" si="13"/>
        <v>Home win by 21 or more</v>
      </c>
      <c r="D134" t="str">
        <f t="shared" si="14"/>
        <v>Michigan can win a game in regular time, not make-believe time…</v>
      </c>
    </row>
    <row r="135" spans="1:4" x14ac:dyDescent="0.25">
      <c r="A135" s="2">
        <f t="shared" si="15"/>
        <v>-19.5</v>
      </c>
      <c r="B135" t="str">
        <f t="shared" si="12"/>
        <v>Away win, tie, or Home win by 19 or less</v>
      </c>
      <c r="C135" t="str">
        <f t="shared" si="13"/>
        <v>Home win by 20 or more</v>
      </c>
      <c r="D135" t="str">
        <f t="shared" si="14"/>
        <v>Michigan can win a game in regular time, not make-believe time…</v>
      </c>
    </row>
    <row r="136" spans="1:4" x14ac:dyDescent="0.25">
      <c r="A136" s="2">
        <f t="shared" si="15"/>
        <v>-18.5</v>
      </c>
      <c r="B136" t="str">
        <f t="shared" ref="B136:B152" si="16">"Away win, tie, or Home win by "&amp;ABS(INT(A136))-1&amp;" or less"</f>
        <v>Away win, tie, or Home win by 18 or less</v>
      </c>
      <c r="C136" t="str">
        <f t="shared" ref="C136:C153" si="17">"Home win by "&amp;ABS(INT(A136))&amp;" or more"</f>
        <v>Home win by 19 or more</v>
      </c>
      <c r="D136" t="str">
        <f t="shared" ref="D136:D167" si="18">impossible</f>
        <v>Michigan can win a game in regular time, not make-believe time…</v>
      </c>
    </row>
    <row r="137" spans="1:4" x14ac:dyDescent="0.25">
      <c r="A137" s="2">
        <f t="shared" si="15"/>
        <v>-17.5</v>
      </c>
      <c r="B137" t="str">
        <f t="shared" si="16"/>
        <v>Away win, tie, or Home win by 17 or less</v>
      </c>
      <c r="C137" t="str">
        <f t="shared" si="17"/>
        <v>Home win by 18 or more</v>
      </c>
      <c r="D137" t="str">
        <f t="shared" si="18"/>
        <v>Michigan can win a game in regular time, not make-believe time…</v>
      </c>
    </row>
    <row r="138" spans="1:4" x14ac:dyDescent="0.25">
      <c r="A138" s="2">
        <f t="shared" si="15"/>
        <v>-16.5</v>
      </c>
      <c r="B138" t="str">
        <f t="shared" si="16"/>
        <v>Away win, tie, or Home win by 16 or less</v>
      </c>
      <c r="C138" t="str">
        <f t="shared" si="17"/>
        <v>Home win by 17 or more</v>
      </c>
      <c r="D138" t="str">
        <f t="shared" si="18"/>
        <v>Michigan can win a game in regular time, not make-believe time…</v>
      </c>
    </row>
    <row r="139" spans="1:4" x14ac:dyDescent="0.25">
      <c r="A139" s="2">
        <f t="shared" si="15"/>
        <v>-15.5</v>
      </c>
      <c r="B139" t="str">
        <f t="shared" si="16"/>
        <v>Away win, tie, or Home win by 15 or less</v>
      </c>
      <c r="C139" t="str">
        <f t="shared" si="17"/>
        <v>Home win by 16 or more</v>
      </c>
      <c r="D139" t="str">
        <f t="shared" si="18"/>
        <v>Michigan can win a game in regular time, not make-believe time…</v>
      </c>
    </row>
    <row r="140" spans="1:4" x14ac:dyDescent="0.25">
      <c r="A140" s="2">
        <f t="shared" si="15"/>
        <v>-14.5</v>
      </c>
      <c r="B140" t="str">
        <f t="shared" si="16"/>
        <v>Away win, tie, or Home win by 14 or less</v>
      </c>
      <c r="C140" t="str">
        <f t="shared" si="17"/>
        <v>Home win by 15 or more</v>
      </c>
      <c r="D140" t="str">
        <f t="shared" si="18"/>
        <v>Michigan can win a game in regular time, not make-believe time…</v>
      </c>
    </row>
    <row r="141" spans="1:4" x14ac:dyDescent="0.25">
      <c r="A141" s="2">
        <f t="shared" si="15"/>
        <v>-13.5</v>
      </c>
      <c r="B141" t="str">
        <f t="shared" si="16"/>
        <v>Away win, tie, or Home win by 13 or less</v>
      </c>
      <c r="C141" t="str">
        <f t="shared" si="17"/>
        <v>Home win by 14 or more</v>
      </c>
      <c r="D141" t="str">
        <f t="shared" si="18"/>
        <v>Michigan can win a game in regular time, not make-believe time…</v>
      </c>
    </row>
    <row r="142" spans="1:4" x14ac:dyDescent="0.25">
      <c r="A142" s="2">
        <f t="shared" si="15"/>
        <v>-12.5</v>
      </c>
      <c r="B142" t="str">
        <f t="shared" si="16"/>
        <v>Away win, tie, or Home win by 12 or less</v>
      </c>
      <c r="C142" t="str">
        <f t="shared" si="17"/>
        <v>Home win by 13 or more</v>
      </c>
      <c r="D142" t="str">
        <f t="shared" si="18"/>
        <v>Michigan can win a game in regular time, not make-believe time…</v>
      </c>
    </row>
    <row r="143" spans="1:4" x14ac:dyDescent="0.25">
      <c r="A143" s="2">
        <f t="shared" si="15"/>
        <v>-11.5</v>
      </c>
      <c r="B143" t="str">
        <f t="shared" si="16"/>
        <v>Away win, tie, or Home win by 11 or less</v>
      </c>
      <c r="C143" t="str">
        <f t="shared" si="17"/>
        <v>Home win by 12 or more</v>
      </c>
      <c r="D143" t="str">
        <f t="shared" si="18"/>
        <v>Michigan can win a game in regular time, not make-believe time…</v>
      </c>
    </row>
    <row r="144" spans="1:4" x14ac:dyDescent="0.25">
      <c r="A144" s="2">
        <f t="shared" si="15"/>
        <v>-10.5</v>
      </c>
      <c r="B144" t="str">
        <f t="shared" si="16"/>
        <v>Away win, tie, or Home win by 10 or less</v>
      </c>
      <c r="C144" t="str">
        <f t="shared" si="17"/>
        <v>Home win by 11 or more</v>
      </c>
      <c r="D144" t="str">
        <f t="shared" si="18"/>
        <v>Michigan can win a game in regular time, not make-believe time…</v>
      </c>
    </row>
    <row r="145" spans="1:4" x14ac:dyDescent="0.25">
      <c r="A145" s="2">
        <f t="shared" si="15"/>
        <v>-9.5</v>
      </c>
      <c r="B145" t="str">
        <f t="shared" si="16"/>
        <v>Away win, tie, or Home win by 9 or less</v>
      </c>
      <c r="C145" t="str">
        <f t="shared" si="17"/>
        <v>Home win by 10 or more</v>
      </c>
      <c r="D145" t="str">
        <f t="shared" si="18"/>
        <v>Michigan can win a game in regular time, not make-believe time…</v>
      </c>
    </row>
    <row r="146" spans="1:4" x14ac:dyDescent="0.25">
      <c r="A146" s="2">
        <f t="shared" si="15"/>
        <v>-8.5</v>
      </c>
      <c r="B146" t="str">
        <f t="shared" si="16"/>
        <v>Away win, tie, or Home win by 8 or less</v>
      </c>
      <c r="C146" t="str">
        <f t="shared" si="17"/>
        <v>Home win by 9 or more</v>
      </c>
      <c r="D146" t="str">
        <f t="shared" si="18"/>
        <v>Michigan can win a game in regular time, not make-believe time…</v>
      </c>
    </row>
    <row r="147" spans="1:4" x14ac:dyDescent="0.25">
      <c r="A147" s="2">
        <f t="shared" si="15"/>
        <v>-7.5</v>
      </c>
      <c r="B147" t="str">
        <f t="shared" si="16"/>
        <v>Away win, tie, or Home win by 7 or less</v>
      </c>
      <c r="C147" t="str">
        <f t="shared" si="17"/>
        <v>Home win by 8 or more</v>
      </c>
      <c r="D147" t="str">
        <f t="shared" si="18"/>
        <v>Michigan can win a game in regular time, not make-believe time…</v>
      </c>
    </row>
    <row r="148" spans="1:4" x14ac:dyDescent="0.25">
      <c r="A148" s="2">
        <f t="shared" si="15"/>
        <v>-6.5</v>
      </c>
      <c r="B148" t="str">
        <f t="shared" si="16"/>
        <v>Away win, tie, or Home win by 6 or less</v>
      </c>
      <c r="C148" t="str">
        <f t="shared" si="17"/>
        <v>Home win by 7 or more</v>
      </c>
      <c r="D148" t="str">
        <f t="shared" si="18"/>
        <v>Michigan can win a game in regular time, not make-believe time…</v>
      </c>
    </row>
    <row r="149" spans="1:4" x14ac:dyDescent="0.25">
      <c r="A149" s="2">
        <f t="shared" si="15"/>
        <v>-5.5</v>
      </c>
      <c r="B149" t="str">
        <f t="shared" si="16"/>
        <v>Away win, tie, or Home win by 5 or less</v>
      </c>
      <c r="C149" t="str">
        <f t="shared" si="17"/>
        <v>Home win by 6 or more</v>
      </c>
      <c r="D149" t="str">
        <f t="shared" si="18"/>
        <v>Michigan can win a game in regular time, not make-believe time…</v>
      </c>
    </row>
    <row r="150" spans="1:4" x14ac:dyDescent="0.25">
      <c r="A150" s="2">
        <f t="shared" si="15"/>
        <v>-4.5</v>
      </c>
      <c r="B150" t="str">
        <f t="shared" si="16"/>
        <v>Away win, tie, or Home win by 4 or less</v>
      </c>
      <c r="C150" t="str">
        <f t="shared" si="17"/>
        <v>Home win by 5 or more</v>
      </c>
      <c r="D150" t="str">
        <f t="shared" si="18"/>
        <v>Michigan can win a game in regular time, not make-believe time…</v>
      </c>
    </row>
    <row r="151" spans="1:4" x14ac:dyDescent="0.25">
      <c r="A151" s="2">
        <f t="shared" si="15"/>
        <v>-3.5</v>
      </c>
      <c r="B151" t="str">
        <f t="shared" si="16"/>
        <v>Away win, tie, or Home win by 3 or less</v>
      </c>
      <c r="C151" t="str">
        <f t="shared" si="17"/>
        <v>Home win by 4 or more</v>
      </c>
      <c r="D151" t="str">
        <f t="shared" si="18"/>
        <v>Michigan can win a game in regular time, not make-believe time…</v>
      </c>
    </row>
    <row r="152" spans="1:4" x14ac:dyDescent="0.25">
      <c r="A152" s="2">
        <f t="shared" si="15"/>
        <v>-2.5</v>
      </c>
      <c r="B152" t="str">
        <f t="shared" si="16"/>
        <v>Away win, tie, or Home win by 2 or less</v>
      </c>
      <c r="C152" t="str">
        <f t="shared" si="17"/>
        <v>Home win by 3 or more</v>
      </c>
      <c r="D152" t="str">
        <f t="shared" si="18"/>
        <v>Michigan can win a game in regular time, not make-believe time…</v>
      </c>
    </row>
    <row r="153" spans="1:4" x14ac:dyDescent="0.25">
      <c r="A153" s="2">
        <f t="shared" si="15"/>
        <v>-1.5</v>
      </c>
      <c r="B153" t="s">
        <v>28</v>
      </c>
      <c r="C153" t="str">
        <f t="shared" si="17"/>
        <v>Home win by 2 or more</v>
      </c>
      <c r="D153" t="str">
        <f t="shared" si="18"/>
        <v>Michigan can win a game in regular time, not make-believe time…</v>
      </c>
    </row>
    <row r="154" spans="1:4" x14ac:dyDescent="0.25">
      <c r="A154" s="2">
        <f t="shared" si="15"/>
        <v>-0.5</v>
      </c>
      <c r="B154" t="s">
        <v>29</v>
      </c>
      <c r="C154" t="s">
        <v>27</v>
      </c>
      <c r="D154" t="str">
        <f t="shared" si="18"/>
        <v>Michigan can win a game in regular time, not make-believe time…</v>
      </c>
    </row>
    <row r="155" spans="1:4" x14ac:dyDescent="0.25">
      <c r="A155" s="2">
        <f t="shared" si="15"/>
        <v>0.5</v>
      </c>
      <c r="B155" t="s">
        <v>26</v>
      </c>
      <c r="C155" t="s">
        <v>31</v>
      </c>
      <c r="D155" t="str">
        <f t="shared" si="18"/>
        <v>Michigan can win a game in regular time, not make-believe time…</v>
      </c>
    </row>
    <row r="156" spans="1:4" x14ac:dyDescent="0.25">
      <c r="A156" s="2">
        <f t="shared" si="15"/>
        <v>1.5</v>
      </c>
      <c r="B156" t="str">
        <f t="shared" ref="B156:B187" si="19">"Away win by "&amp;ABS(INT(A156)+1)&amp;" or more"</f>
        <v>Away win by 2 or more</v>
      </c>
      <c r="C156" t="s">
        <v>32</v>
      </c>
      <c r="D156" t="str">
        <f t="shared" si="18"/>
        <v>Michigan can win a game in regular time, not make-believe time…</v>
      </c>
    </row>
    <row r="157" spans="1:4" x14ac:dyDescent="0.25">
      <c r="A157" s="2">
        <f t="shared" si="15"/>
        <v>2.5</v>
      </c>
      <c r="B157" t="str">
        <f t="shared" si="19"/>
        <v>Away win by 3 or more</v>
      </c>
      <c r="C157" t="str">
        <f t="shared" ref="C157:C188" si="20">"Home win, tie, or Away win by "&amp;ABS(INT(A157))&amp;" or less"</f>
        <v>Home win, tie, or Away win by 2 or less</v>
      </c>
      <c r="D157" t="str">
        <f t="shared" si="18"/>
        <v>Michigan can win a game in regular time, not make-believe time…</v>
      </c>
    </row>
    <row r="158" spans="1:4" x14ac:dyDescent="0.25">
      <c r="A158" s="2">
        <f t="shared" si="15"/>
        <v>3.5</v>
      </c>
      <c r="B158" t="str">
        <f t="shared" si="19"/>
        <v>Away win by 4 or more</v>
      </c>
      <c r="C158" t="str">
        <f t="shared" si="20"/>
        <v>Home win, tie, or Away win by 3 or less</v>
      </c>
      <c r="D158" t="str">
        <f t="shared" si="18"/>
        <v>Michigan can win a game in regular time, not make-believe time…</v>
      </c>
    </row>
    <row r="159" spans="1:4" x14ac:dyDescent="0.25">
      <c r="A159" s="2">
        <f t="shared" si="15"/>
        <v>4.5</v>
      </c>
      <c r="B159" t="str">
        <f t="shared" si="19"/>
        <v>Away win by 5 or more</v>
      </c>
      <c r="C159" t="str">
        <f t="shared" si="20"/>
        <v>Home win, tie, or Away win by 4 or less</v>
      </c>
      <c r="D159" t="str">
        <f t="shared" si="18"/>
        <v>Michigan can win a game in regular time, not make-believe time…</v>
      </c>
    </row>
    <row r="160" spans="1:4" x14ac:dyDescent="0.25">
      <c r="A160" s="2">
        <f t="shared" si="15"/>
        <v>5.5</v>
      </c>
      <c r="B160" t="str">
        <f t="shared" si="19"/>
        <v>Away win by 6 or more</v>
      </c>
      <c r="C160" t="str">
        <f t="shared" si="20"/>
        <v>Home win, tie, or Away win by 5 or less</v>
      </c>
      <c r="D160" t="str">
        <f t="shared" si="18"/>
        <v>Michigan can win a game in regular time, not make-believe time…</v>
      </c>
    </row>
    <row r="161" spans="1:4" x14ac:dyDescent="0.25">
      <c r="A161" s="2">
        <f t="shared" si="15"/>
        <v>6.5</v>
      </c>
      <c r="B161" t="str">
        <f t="shared" si="19"/>
        <v>Away win by 7 or more</v>
      </c>
      <c r="C161" t="str">
        <f t="shared" si="20"/>
        <v>Home win, tie, or Away win by 6 or less</v>
      </c>
      <c r="D161" t="str">
        <f t="shared" si="18"/>
        <v>Michigan can win a game in regular time, not make-believe time…</v>
      </c>
    </row>
    <row r="162" spans="1:4" x14ac:dyDescent="0.25">
      <c r="A162" s="2">
        <f t="shared" si="15"/>
        <v>7.5</v>
      </c>
      <c r="B162" t="str">
        <f t="shared" si="19"/>
        <v>Away win by 8 or more</v>
      </c>
      <c r="C162" t="str">
        <f t="shared" si="20"/>
        <v>Home win, tie, or Away win by 7 or less</v>
      </c>
      <c r="D162" t="str">
        <f t="shared" si="18"/>
        <v>Michigan can win a game in regular time, not make-believe time…</v>
      </c>
    </row>
    <row r="163" spans="1:4" x14ac:dyDescent="0.25">
      <c r="A163" s="2">
        <f t="shared" si="15"/>
        <v>8.5</v>
      </c>
      <c r="B163" t="str">
        <f t="shared" si="19"/>
        <v>Away win by 9 or more</v>
      </c>
      <c r="C163" t="str">
        <f t="shared" si="20"/>
        <v>Home win, tie, or Away win by 8 or less</v>
      </c>
      <c r="D163" t="str">
        <f t="shared" si="18"/>
        <v>Michigan can win a game in regular time, not make-believe time…</v>
      </c>
    </row>
    <row r="164" spans="1:4" x14ac:dyDescent="0.25">
      <c r="A164" s="2">
        <f t="shared" si="15"/>
        <v>9.5</v>
      </c>
      <c r="B164" t="str">
        <f t="shared" si="19"/>
        <v>Away win by 10 or more</v>
      </c>
      <c r="C164" t="str">
        <f t="shared" si="20"/>
        <v>Home win, tie, or Away win by 9 or less</v>
      </c>
      <c r="D164" t="str">
        <f t="shared" si="18"/>
        <v>Michigan can win a game in regular time, not make-believe time…</v>
      </c>
    </row>
    <row r="165" spans="1:4" x14ac:dyDescent="0.25">
      <c r="A165" s="2">
        <f t="shared" si="15"/>
        <v>10.5</v>
      </c>
      <c r="B165" t="str">
        <f t="shared" si="19"/>
        <v>Away win by 11 or more</v>
      </c>
      <c r="C165" t="str">
        <f t="shared" si="20"/>
        <v>Home win, tie, or Away win by 10 or less</v>
      </c>
      <c r="D165" t="str">
        <f t="shared" si="18"/>
        <v>Michigan can win a game in regular time, not make-believe time…</v>
      </c>
    </row>
    <row r="166" spans="1:4" x14ac:dyDescent="0.25">
      <c r="A166" s="2">
        <f t="shared" si="15"/>
        <v>11.5</v>
      </c>
      <c r="B166" t="str">
        <f t="shared" si="19"/>
        <v>Away win by 12 or more</v>
      </c>
      <c r="C166" t="str">
        <f t="shared" si="20"/>
        <v>Home win, tie, or Away win by 11 or less</v>
      </c>
      <c r="D166" t="str">
        <f t="shared" si="18"/>
        <v>Michigan can win a game in regular time, not make-believe time…</v>
      </c>
    </row>
    <row r="167" spans="1:4" x14ac:dyDescent="0.25">
      <c r="A167" s="2">
        <f t="shared" si="15"/>
        <v>12.5</v>
      </c>
      <c r="B167" t="str">
        <f t="shared" si="19"/>
        <v>Away win by 13 or more</v>
      </c>
      <c r="C167" t="str">
        <f t="shared" si="20"/>
        <v>Home win, tie, or Away win by 12 or less</v>
      </c>
      <c r="D167" t="str">
        <f t="shared" si="18"/>
        <v>Michigan can win a game in regular time, not make-believe time…</v>
      </c>
    </row>
    <row r="168" spans="1:4" x14ac:dyDescent="0.25">
      <c r="A168" s="2">
        <f t="shared" si="15"/>
        <v>13.5</v>
      </c>
      <c r="B168" t="str">
        <f t="shared" si="19"/>
        <v>Away win by 14 or more</v>
      </c>
      <c r="C168" t="str">
        <f t="shared" si="20"/>
        <v>Home win, tie, or Away win by 13 or less</v>
      </c>
      <c r="D168" t="str">
        <f t="shared" ref="D168:D199" si="21">impossible</f>
        <v>Michigan can win a game in regular time, not make-believe time…</v>
      </c>
    </row>
    <row r="169" spans="1:4" x14ac:dyDescent="0.25">
      <c r="A169" s="2">
        <f t="shared" si="15"/>
        <v>14.5</v>
      </c>
      <c r="B169" t="str">
        <f t="shared" si="19"/>
        <v>Away win by 15 or more</v>
      </c>
      <c r="C169" t="str">
        <f t="shared" si="20"/>
        <v>Home win, tie, or Away win by 14 or less</v>
      </c>
      <c r="D169" t="str">
        <f t="shared" si="21"/>
        <v>Michigan can win a game in regular time, not make-believe time…</v>
      </c>
    </row>
    <row r="170" spans="1:4" x14ac:dyDescent="0.25">
      <c r="A170" s="2">
        <f t="shared" ref="A170:A210" si="22">A169+1</f>
        <v>15.5</v>
      </c>
      <c r="B170" t="str">
        <f t="shared" si="19"/>
        <v>Away win by 16 or more</v>
      </c>
      <c r="C170" t="str">
        <f t="shared" si="20"/>
        <v>Home win, tie, or Away win by 15 or less</v>
      </c>
      <c r="D170" t="str">
        <f t="shared" si="21"/>
        <v>Michigan can win a game in regular time, not make-believe time…</v>
      </c>
    </row>
    <row r="171" spans="1:4" x14ac:dyDescent="0.25">
      <c r="A171" s="2">
        <f t="shared" si="22"/>
        <v>16.5</v>
      </c>
      <c r="B171" t="str">
        <f t="shared" si="19"/>
        <v>Away win by 17 or more</v>
      </c>
      <c r="C171" t="str">
        <f t="shared" si="20"/>
        <v>Home win, tie, or Away win by 16 or less</v>
      </c>
      <c r="D171" t="str">
        <f t="shared" si="21"/>
        <v>Michigan can win a game in regular time, not make-believe time…</v>
      </c>
    </row>
    <row r="172" spans="1:4" x14ac:dyDescent="0.25">
      <c r="A172" s="2">
        <f t="shared" si="22"/>
        <v>17.5</v>
      </c>
      <c r="B172" t="str">
        <f t="shared" si="19"/>
        <v>Away win by 18 or more</v>
      </c>
      <c r="C172" t="str">
        <f t="shared" si="20"/>
        <v>Home win, tie, or Away win by 17 or less</v>
      </c>
      <c r="D172" t="str">
        <f t="shared" si="21"/>
        <v>Michigan can win a game in regular time, not make-believe time…</v>
      </c>
    </row>
    <row r="173" spans="1:4" x14ac:dyDescent="0.25">
      <c r="A173" s="2">
        <f t="shared" si="22"/>
        <v>18.5</v>
      </c>
      <c r="B173" t="str">
        <f t="shared" si="19"/>
        <v>Away win by 19 or more</v>
      </c>
      <c r="C173" t="str">
        <f t="shared" si="20"/>
        <v>Home win, tie, or Away win by 18 or less</v>
      </c>
      <c r="D173" t="str">
        <f t="shared" si="21"/>
        <v>Michigan can win a game in regular time, not make-believe time…</v>
      </c>
    </row>
    <row r="174" spans="1:4" x14ac:dyDescent="0.25">
      <c r="A174" s="2">
        <f t="shared" si="22"/>
        <v>19.5</v>
      </c>
      <c r="B174" t="str">
        <f t="shared" si="19"/>
        <v>Away win by 20 or more</v>
      </c>
      <c r="C174" t="str">
        <f t="shared" si="20"/>
        <v>Home win, tie, or Away win by 19 or less</v>
      </c>
      <c r="D174" t="str">
        <f t="shared" si="21"/>
        <v>Michigan can win a game in regular time, not make-believe time…</v>
      </c>
    </row>
    <row r="175" spans="1:4" x14ac:dyDescent="0.25">
      <c r="A175" s="2">
        <f t="shared" si="22"/>
        <v>20.5</v>
      </c>
      <c r="B175" t="str">
        <f t="shared" si="19"/>
        <v>Away win by 21 or more</v>
      </c>
      <c r="C175" t="str">
        <f t="shared" si="20"/>
        <v>Home win, tie, or Away win by 20 or less</v>
      </c>
      <c r="D175" t="str">
        <f t="shared" si="21"/>
        <v>Michigan can win a game in regular time, not make-believe time…</v>
      </c>
    </row>
    <row r="176" spans="1:4" x14ac:dyDescent="0.25">
      <c r="A176" s="2">
        <f t="shared" si="22"/>
        <v>21.5</v>
      </c>
      <c r="B176" t="str">
        <f t="shared" si="19"/>
        <v>Away win by 22 or more</v>
      </c>
      <c r="C176" t="str">
        <f t="shared" si="20"/>
        <v>Home win, tie, or Away win by 21 or less</v>
      </c>
      <c r="D176" t="str">
        <f t="shared" si="21"/>
        <v>Michigan can win a game in regular time, not make-believe time…</v>
      </c>
    </row>
    <row r="177" spans="1:4" x14ac:dyDescent="0.25">
      <c r="A177" s="2">
        <f t="shared" si="22"/>
        <v>22.5</v>
      </c>
      <c r="B177" t="str">
        <f t="shared" si="19"/>
        <v>Away win by 23 or more</v>
      </c>
      <c r="C177" t="str">
        <f t="shared" si="20"/>
        <v>Home win, tie, or Away win by 22 or less</v>
      </c>
      <c r="D177" t="str">
        <f t="shared" si="21"/>
        <v>Michigan can win a game in regular time, not make-believe time…</v>
      </c>
    </row>
    <row r="178" spans="1:4" x14ac:dyDescent="0.25">
      <c r="A178" s="2">
        <f t="shared" si="22"/>
        <v>23.5</v>
      </c>
      <c r="B178" t="str">
        <f t="shared" si="19"/>
        <v>Away win by 24 or more</v>
      </c>
      <c r="C178" t="str">
        <f t="shared" si="20"/>
        <v>Home win, tie, or Away win by 23 or less</v>
      </c>
      <c r="D178" t="str">
        <f t="shared" si="21"/>
        <v>Michigan can win a game in regular time, not make-believe time…</v>
      </c>
    </row>
    <row r="179" spans="1:4" x14ac:dyDescent="0.25">
      <c r="A179" s="2">
        <f t="shared" si="22"/>
        <v>24.5</v>
      </c>
      <c r="B179" t="str">
        <f t="shared" si="19"/>
        <v>Away win by 25 or more</v>
      </c>
      <c r="C179" t="str">
        <f t="shared" si="20"/>
        <v>Home win, tie, or Away win by 24 or less</v>
      </c>
      <c r="D179" t="str">
        <f t="shared" si="21"/>
        <v>Michigan can win a game in regular time, not make-believe time…</v>
      </c>
    </row>
    <row r="180" spans="1:4" x14ac:dyDescent="0.25">
      <c r="A180" s="2">
        <f t="shared" si="22"/>
        <v>25.5</v>
      </c>
      <c r="B180" t="str">
        <f t="shared" si="19"/>
        <v>Away win by 26 or more</v>
      </c>
      <c r="C180" t="str">
        <f t="shared" si="20"/>
        <v>Home win, tie, or Away win by 25 or less</v>
      </c>
      <c r="D180" t="str">
        <f t="shared" si="21"/>
        <v>Michigan can win a game in regular time, not make-believe time…</v>
      </c>
    </row>
    <row r="181" spans="1:4" x14ac:dyDescent="0.25">
      <c r="A181" s="2">
        <f t="shared" si="22"/>
        <v>26.5</v>
      </c>
      <c r="B181" t="str">
        <f t="shared" si="19"/>
        <v>Away win by 27 or more</v>
      </c>
      <c r="C181" t="str">
        <f t="shared" si="20"/>
        <v>Home win, tie, or Away win by 26 or less</v>
      </c>
      <c r="D181" t="str">
        <f t="shared" si="21"/>
        <v>Michigan can win a game in regular time, not make-believe time…</v>
      </c>
    </row>
    <row r="182" spans="1:4" x14ac:dyDescent="0.25">
      <c r="A182" s="2">
        <f t="shared" si="22"/>
        <v>27.5</v>
      </c>
      <c r="B182" t="str">
        <f t="shared" si="19"/>
        <v>Away win by 28 or more</v>
      </c>
      <c r="C182" t="str">
        <f t="shared" si="20"/>
        <v>Home win, tie, or Away win by 27 or less</v>
      </c>
      <c r="D182" t="str">
        <f t="shared" si="21"/>
        <v>Michigan can win a game in regular time, not make-believe time…</v>
      </c>
    </row>
    <row r="183" spans="1:4" x14ac:dyDescent="0.25">
      <c r="A183" s="2">
        <f t="shared" si="22"/>
        <v>28.5</v>
      </c>
      <c r="B183" t="str">
        <f t="shared" si="19"/>
        <v>Away win by 29 or more</v>
      </c>
      <c r="C183" t="str">
        <f t="shared" si="20"/>
        <v>Home win, tie, or Away win by 28 or less</v>
      </c>
      <c r="D183" t="str">
        <f t="shared" si="21"/>
        <v>Michigan can win a game in regular time, not make-believe time…</v>
      </c>
    </row>
    <row r="184" spans="1:4" x14ac:dyDescent="0.25">
      <c r="A184" s="2">
        <f t="shared" si="22"/>
        <v>29.5</v>
      </c>
      <c r="B184" t="str">
        <f t="shared" si="19"/>
        <v>Away win by 30 or more</v>
      </c>
      <c r="C184" t="str">
        <f t="shared" si="20"/>
        <v>Home win, tie, or Away win by 29 or less</v>
      </c>
      <c r="D184" t="str">
        <f t="shared" si="21"/>
        <v>Michigan can win a game in regular time, not make-believe time…</v>
      </c>
    </row>
    <row r="185" spans="1:4" x14ac:dyDescent="0.25">
      <c r="A185" s="2">
        <f t="shared" si="22"/>
        <v>30.5</v>
      </c>
      <c r="B185" t="str">
        <f t="shared" si="19"/>
        <v>Away win by 31 or more</v>
      </c>
      <c r="C185" t="str">
        <f t="shared" si="20"/>
        <v>Home win, tie, or Away win by 30 or less</v>
      </c>
      <c r="D185" t="str">
        <f t="shared" si="21"/>
        <v>Michigan can win a game in regular time, not make-believe time…</v>
      </c>
    </row>
    <row r="186" spans="1:4" x14ac:dyDescent="0.25">
      <c r="A186" s="2">
        <f t="shared" si="22"/>
        <v>31.5</v>
      </c>
      <c r="B186" t="str">
        <f t="shared" si="19"/>
        <v>Away win by 32 or more</v>
      </c>
      <c r="C186" t="str">
        <f t="shared" si="20"/>
        <v>Home win, tie, or Away win by 31 or less</v>
      </c>
      <c r="D186" t="str">
        <f t="shared" si="21"/>
        <v>Michigan can win a game in regular time, not make-believe time…</v>
      </c>
    </row>
    <row r="187" spans="1:4" x14ac:dyDescent="0.25">
      <c r="A187" s="2">
        <f t="shared" si="22"/>
        <v>32.5</v>
      </c>
      <c r="B187" t="str">
        <f t="shared" si="19"/>
        <v>Away win by 33 or more</v>
      </c>
      <c r="C187" t="str">
        <f t="shared" si="20"/>
        <v>Home win, tie, or Away win by 32 or less</v>
      </c>
      <c r="D187" t="str">
        <f t="shared" si="21"/>
        <v>Michigan can win a game in regular time, not make-believe time…</v>
      </c>
    </row>
    <row r="188" spans="1:4" x14ac:dyDescent="0.25">
      <c r="A188" s="2">
        <f t="shared" si="22"/>
        <v>33.5</v>
      </c>
      <c r="B188" t="str">
        <f t="shared" ref="B188:B210" si="23">"Away win by "&amp;ABS(INT(A188)+1)&amp;" or more"</f>
        <v>Away win by 34 or more</v>
      </c>
      <c r="C188" t="str">
        <f t="shared" si="20"/>
        <v>Home win, tie, or Away win by 33 or less</v>
      </c>
      <c r="D188" t="str">
        <f t="shared" si="21"/>
        <v>Michigan can win a game in regular time, not make-believe time…</v>
      </c>
    </row>
    <row r="189" spans="1:4" x14ac:dyDescent="0.25">
      <c r="A189" s="2">
        <f t="shared" si="22"/>
        <v>34.5</v>
      </c>
      <c r="B189" t="str">
        <f t="shared" si="23"/>
        <v>Away win by 35 or more</v>
      </c>
      <c r="C189" t="str">
        <f t="shared" ref="C189:C210" si="24">"Home win, tie, or Away win by "&amp;ABS(INT(A189))&amp;" or less"</f>
        <v>Home win, tie, or Away win by 34 or less</v>
      </c>
      <c r="D189" t="str">
        <f t="shared" si="21"/>
        <v>Michigan can win a game in regular time, not make-believe time…</v>
      </c>
    </row>
    <row r="190" spans="1:4" x14ac:dyDescent="0.25">
      <c r="A190" s="2">
        <f t="shared" si="22"/>
        <v>35.5</v>
      </c>
      <c r="B190" t="str">
        <f t="shared" si="23"/>
        <v>Away win by 36 or more</v>
      </c>
      <c r="C190" t="str">
        <f t="shared" si="24"/>
        <v>Home win, tie, or Away win by 35 or less</v>
      </c>
      <c r="D190" t="str">
        <f t="shared" si="21"/>
        <v>Michigan can win a game in regular time, not make-believe time…</v>
      </c>
    </row>
    <row r="191" spans="1:4" x14ac:dyDescent="0.25">
      <c r="A191" s="2">
        <f t="shared" si="22"/>
        <v>36.5</v>
      </c>
      <c r="B191" t="str">
        <f t="shared" si="23"/>
        <v>Away win by 37 or more</v>
      </c>
      <c r="C191" t="str">
        <f t="shared" si="24"/>
        <v>Home win, tie, or Away win by 36 or less</v>
      </c>
      <c r="D191" t="str">
        <f t="shared" si="21"/>
        <v>Michigan can win a game in regular time, not make-believe time…</v>
      </c>
    </row>
    <row r="192" spans="1:4" x14ac:dyDescent="0.25">
      <c r="A192" s="2">
        <f t="shared" si="22"/>
        <v>37.5</v>
      </c>
      <c r="B192" t="str">
        <f t="shared" si="23"/>
        <v>Away win by 38 or more</v>
      </c>
      <c r="C192" t="str">
        <f t="shared" si="24"/>
        <v>Home win, tie, or Away win by 37 or less</v>
      </c>
      <c r="D192" t="str">
        <f t="shared" si="21"/>
        <v>Michigan can win a game in regular time, not make-believe time…</v>
      </c>
    </row>
    <row r="193" spans="1:4" x14ac:dyDescent="0.25">
      <c r="A193" s="2">
        <f t="shared" si="22"/>
        <v>38.5</v>
      </c>
      <c r="B193" t="str">
        <f t="shared" si="23"/>
        <v>Away win by 39 or more</v>
      </c>
      <c r="C193" t="str">
        <f t="shared" si="24"/>
        <v>Home win, tie, or Away win by 38 or less</v>
      </c>
      <c r="D193" t="str">
        <f t="shared" si="21"/>
        <v>Michigan can win a game in regular time, not make-believe time…</v>
      </c>
    </row>
    <row r="194" spans="1:4" x14ac:dyDescent="0.25">
      <c r="A194" s="2">
        <f t="shared" si="22"/>
        <v>39.5</v>
      </c>
      <c r="B194" t="str">
        <f t="shared" si="23"/>
        <v>Away win by 40 or more</v>
      </c>
      <c r="C194" t="str">
        <f t="shared" si="24"/>
        <v>Home win, tie, or Away win by 39 or less</v>
      </c>
      <c r="D194" t="str">
        <f t="shared" si="21"/>
        <v>Michigan can win a game in regular time, not make-believe time…</v>
      </c>
    </row>
    <row r="195" spans="1:4" x14ac:dyDescent="0.25">
      <c r="A195" s="2">
        <f t="shared" si="22"/>
        <v>40.5</v>
      </c>
      <c r="B195" t="str">
        <f t="shared" si="23"/>
        <v>Away win by 41 or more</v>
      </c>
      <c r="C195" t="str">
        <f t="shared" si="24"/>
        <v>Home win, tie, or Away win by 40 or less</v>
      </c>
      <c r="D195" t="str">
        <f t="shared" si="21"/>
        <v>Michigan can win a game in regular time, not make-believe time…</v>
      </c>
    </row>
    <row r="196" spans="1:4" x14ac:dyDescent="0.25">
      <c r="A196" s="2">
        <f t="shared" si="22"/>
        <v>41.5</v>
      </c>
      <c r="B196" t="str">
        <f t="shared" si="23"/>
        <v>Away win by 42 or more</v>
      </c>
      <c r="C196" t="str">
        <f t="shared" si="24"/>
        <v>Home win, tie, or Away win by 41 or less</v>
      </c>
      <c r="D196" t="str">
        <f t="shared" si="21"/>
        <v>Michigan can win a game in regular time, not make-believe time…</v>
      </c>
    </row>
    <row r="197" spans="1:4" x14ac:dyDescent="0.25">
      <c r="A197" s="2">
        <f t="shared" si="22"/>
        <v>42.5</v>
      </c>
      <c r="B197" t="str">
        <f t="shared" si="23"/>
        <v>Away win by 43 or more</v>
      </c>
      <c r="C197" t="str">
        <f t="shared" si="24"/>
        <v>Home win, tie, or Away win by 42 or less</v>
      </c>
      <c r="D197" t="str">
        <f t="shared" si="21"/>
        <v>Michigan can win a game in regular time, not make-believe time…</v>
      </c>
    </row>
    <row r="198" spans="1:4" x14ac:dyDescent="0.25">
      <c r="A198" s="2">
        <f t="shared" si="22"/>
        <v>43.5</v>
      </c>
      <c r="B198" t="str">
        <f t="shared" si="23"/>
        <v>Away win by 44 or more</v>
      </c>
      <c r="C198" t="str">
        <f t="shared" si="24"/>
        <v>Home win, tie, or Away win by 43 or less</v>
      </c>
      <c r="D198" t="str">
        <f t="shared" si="21"/>
        <v>Michigan can win a game in regular time, not make-believe time…</v>
      </c>
    </row>
    <row r="199" spans="1:4" x14ac:dyDescent="0.25">
      <c r="A199" s="2">
        <f t="shared" si="22"/>
        <v>44.5</v>
      </c>
      <c r="B199" t="str">
        <f t="shared" si="23"/>
        <v>Away win by 45 or more</v>
      </c>
      <c r="C199" t="str">
        <f t="shared" si="24"/>
        <v>Home win, tie, or Away win by 44 or less</v>
      </c>
      <c r="D199" t="str">
        <f t="shared" si="21"/>
        <v>Michigan can win a game in regular time, not make-believe time…</v>
      </c>
    </row>
    <row r="200" spans="1:4" x14ac:dyDescent="0.25">
      <c r="A200" s="2">
        <f t="shared" si="22"/>
        <v>45.5</v>
      </c>
      <c r="B200" t="str">
        <f t="shared" si="23"/>
        <v>Away win by 46 or more</v>
      </c>
      <c r="C200" t="str">
        <f t="shared" si="24"/>
        <v>Home win, tie, or Away win by 45 or less</v>
      </c>
      <c r="D200" t="str">
        <f t="shared" ref="D200:D210" si="25">impossible</f>
        <v>Michigan can win a game in regular time, not make-believe time…</v>
      </c>
    </row>
    <row r="201" spans="1:4" x14ac:dyDescent="0.25">
      <c r="A201" s="2">
        <f t="shared" si="22"/>
        <v>46.5</v>
      </c>
      <c r="B201" t="str">
        <f t="shared" si="23"/>
        <v>Away win by 47 or more</v>
      </c>
      <c r="C201" t="str">
        <f t="shared" si="24"/>
        <v>Home win, tie, or Away win by 46 or less</v>
      </c>
      <c r="D201" t="str">
        <f t="shared" si="25"/>
        <v>Michigan can win a game in regular time, not make-believe time…</v>
      </c>
    </row>
    <row r="202" spans="1:4" x14ac:dyDescent="0.25">
      <c r="A202" s="2">
        <f t="shared" si="22"/>
        <v>47.5</v>
      </c>
      <c r="B202" t="str">
        <f t="shared" si="23"/>
        <v>Away win by 48 or more</v>
      </c>
      <c r="C202" t="str">
        <f t="shared" si="24"/>
        <v>Home win, tie, or Away win by 47 or less</v>
      </c>
      <c r="D202" t="str">
        <f t="shared" si="25"/>
        <v>Michigan can win a game in regular time, not make-believe time…</v>
      </c>
    </row>
    <row r="203" spans="1:4" x14ac:dyDescent="0.25">
      <c r="A203" s="2">
        <f t="shared" si="22"/>
        <v>48.5</v>
      </c>
      <c r="B203" t="str">
        <f t="shared" si="23"/>
        <v>Away win by 49 or more</v>
      </c>
      <c r="C203" t="str">
        <f t="shared" si="24"/>
        <v>Home win, tie, or Away win by 48 or less</v>
      </c>
      <c r="D203" t="str">
        <f t="shared" si="25"/>
        <v>Michigan can win a game in regular time, not make-believe time…</v>
      </c>
    </row>
    <row r="204" spans="1:4" x14ac:dyDescent="0.25">
      <c r="A204" s="2">
        <f t="shared" si="22"/>
        <v>49.5</v>
      </c>
      <c r="B204" t="str">
        <f t="shared" si="23"/>
        <v>Away win by 50 or more</v>
      </c>
      <c r="C204" t="str">
        <f t="shared" si="24"/>
        <v>Home win, tie, or Away win by 49 or less</v>
      </c>
      <c r="D204" t="str">
        <f t="shared" si="25"/>
        <v>Michigan can win a game in regular time, not make-believe time…</v>
      </c>
    </row>
    <row r="205" spans="1:4" x14ac:dyDescent="0.25">
      <c r="A205" s="2">
        <f t="shared" si="22"/>
        <v>50.5</v>
      </c>
      <c r="B205" t="str">
        <f t="shared" si="23"/>
        <v>Away win by 51 or more</v>
      </c>
      <c r="C205" t="str">
        <f t="shared" si="24"/>
        <v>Home win, tie, or Away win by 50 or less</v>
      </c>
      <c r="D205" t="str">
        <f t="shared" si="25"/>
        <v>Michigan can win a game in regular time, not make-believe time…</v>
      </c>
    </row>
    <row r="206" spans="1:4" x14ac:dyDescent="0.25">
      <c r="A206" s="2">
        <f t="shared" si="22"/>
        <v>51.5</v>
      </c>
      <c r="B206" t="str">
        <f t="shared" si="23"/>
        <v>Away win by 52 or more</v>
      </c>
      <c r="C206" t="str">
        <f t="shared" si="24"/>
        <v>Home win, tie, or Away win by 51 or less</v>
      </c>
      <c r="D206" t="str">
        <f t="shared" si="25"/>
        <v>Michigan can win a game in regular time, not make-believe time…</v>
      </c>
    </row>
    <row r="207" spans="1:4" x14ac:dyDescent="0.25">
      <c r="A207" s="2">
        <f t="shared" si="22"/>
        <v>52.5</v>
      </c>
      <c r="B207" t="str">
        <f t="shared" si="23"/>
        <v>Away win by 53 or more</v>
      </c>
      <c r="C207" t="str">
        <f t="shared" si="24"/>
        <v>Home win, tie, or Away win by 52 or less</v>
      </c>
      <c r="D207" t="str">
        <f t="shared" si="25"/>
        <v>Michigan can win a game in regular time, not make-believe time…</v>
      </c>
    </row>
    <row r="208" spans="1:4" x14ac:dyDescent="0.25">
      <c r="A208" s="2">
        <f t="shared" si="22"/>
        <v>53.5</v>
      </c>
      <c r="B208" t="str">
        <f t="shared" si="23"/>
        <v>Away win by 54 or more</v>
      </c>
      <c r="C208" t="str">
        <f t="shared" si="24"/>
        <v>Home win, tie, or Away win by 53 or less</v>
      </c>
      <c r="D208" t="str">
        <f t="shared" si="25"/>
        <v>Michigan can win a game in regular time, not make-believe time…</v>
      </c>
    </row>
    <row r="209" spans="1:4" x14ac:dyDescent="0.25">
      <c r="A209" s="2">
        <f t="shared" si="22"/>
        <v>54.5</v>
      </c>
      <c r="B209" t="str">
        <f t="shared" si="23"/>
        <v>Away win by 55 or more</v>
      </c>
      <c r="C209" t="str">
        <f t="shared" si="24"/>
        <v>Home win, tie, or Away win by 54 or less</v>
      </c>
      <c r="D209" t="str">
        <f t="shared" si="25"/>
        <v>Michigan can win a game in regular time, not make-believe time…</v>
      </c>
    </row>
    <row r="210" spans="1:4" x14ac:dyDescent="0.25">
      <c r="A210" s="2">
        <f t="shared" si="22"/>
        <v>55.5</v>
      </c>
      <c r="B210" t="str">
        <f t="shared" si="23"/>
        <v>Away win by 56 or more</v>
      </c>
      <c r="C210" t="str">
        <f t="shared" si="24"/>
        <v>Home win, tie, or Away win by 55 or less</v>
      </c>
      <c r="D210" t="str">
        <f t="shared" si="25"/>
        <v>Michigan can win a game in regular time, not make-believe time…</v>
      </c>
    </row>
  </sheetData>
  <sheetProtection password="E562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183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A4" sqref="A4"/>
    </sheetView>
  </sheetViews>
  <sheetFormatPr defaultRowHeight="15" x14ac:dyDescent="0.25"/>
  <cols>
    <col min="1" max="1" width="9.140625" style="2"/>
    <col min="2" max="2" width="30.85546875" bestFit="1" customWidth="1"/>
    <col min="3" max="3" width="32.7109375" bestFit="1" customWidth="1"/>
    <col min="4" max="4" width="24.85546875" bestFit="1" customWidth="1"/>
  </cols>
  <sheetData>
    <row r="1" spans="1:4" x14ac:dyDescent="0.25">
      <c r="A1" s="2" t="s">
        <v>5</v>
      </c>
      <c r="B1" t="s">
        <v>9</v>
      </c>
      <c r="C1" t="s">
        <v>12</v>
      </c>
      <c r="D1" t="s">
        <v>6</v>
      </c>
    </row>
    <row r="2" spans="1:4" x14ac:dyDescent="0.25">
      <c r="A2" s="2">
        <v>10</v>
      </c>
      <c r="B2" t="str">
        <f t="shared" ref="B2:B33" si="0">"Away + Home score is "&amp;A2-1&amp;" or less"</f>
        <v>Away + Home score is 9 or less</v>
      </c>
      <c r="C2" t="str">
        <f t="shared" ref="C2:C33" si="1">"Away + Home score is "&amp;A2+1&amp;" or more"</f>
        <v>Away + Home score is 11 or more</v>
      </c>
      <c r="D2" t="str">
        <f t="shared" ref="D2:D33" si="2">"Away + Home score is "&amp;A2</f>
        <v>Away + Home score is 10</v>
      </c>
    </row>
    <row r="3" spans="1:4" x14ac:dyDescent="0.25">
      <c r="A3" s="2">
        <f>A2+1</f>
        <v>11</v>
      </c>
      <c r="B3" t="str">
        <f t="shared" si="0"/>
        <v>Away + Home score is 10 or less</v>
      </c>
      <c r="C3" t="str">
        <f t="shared" si="1"/>
        <v>Away + Home score is 12 or more</v>
      </c>
      <c r="D3" t="str">
        <f t="shared" si="2"/>
        <v>Away + Home score is 11</v>
      </c>
    </row>
    <row r="4" spans="1:4" x14ac:dyDescent="0.25">
      <c r="A4" s="2">
        <f t="shared" ref="A4:A67" si="3">A3+1</f>
        <v>12</v>
      </c>
      <c r="B4" t="str">
        <f t="shared" si="0"/>
        <v>Away + Home score is 11 or less</v>
      </c>
      <c r="C4" t="str">
        <f t="shared" si="1"/>
        <v>Away + Home score is 13 or more</v>
      </c>
      <c r="D4" t="str">
        <f t="shared" si="2"/>
        <v>Away + Home score is 12</v>
      </c>
    </row>
    <row r="5" spans="1:4" x14ac:dyDescent="0.25">
      <c r="A5" s="2">
        <f t="shared" si="3"/>
        <v>13</v>
      </c>
      <c r="B5" t="str">
        <f t="shared" si="0"/>
        <v>Away + Home score is 12 or less</v>
      </c>
      <c r="C5" t="str">
        <f t="shared" si="1"/>
        <v>Away + Home score is 14 or more</v>
      </c>
      <c r="D5" t="str">
        <f t="shared" si="2"/>
        <v>Away + Home score is 13</v>
      </c>
    </row>
    <row r="6" spans="1:4" x14ac:dyDescent="0.25">
      <c r="A6" s="2">
        <f t="shared" si="3"/>
        <v>14</v>
      </c>
      <c r="B6" t="str">
        <f t="shared" si="0"/>
        <v>Away + Home score is 13 or less</v>
      </c>
      <c r="C6" t="str">
        <f t="shared" si="1"/>
        <v>Away + Home score is 15 or more</v>
      </c>
      <c r="D6" t="str">
        <f t="shared" si="2"/>
        <v>Away + Home score is 14</v>
      </c>
    </row>
    <row r="7" spans="1:4" x14ac:dyDescent="0.25">
      <c r="A7" s="2">
        <f t="shared" si="3"/>
        <v>15</v>
      </c>
      <c r="B7" t="str">
        <f t="shared" si="0"/>
        <v>Away + Home score is 14 or less</v>
      </c>
      <c r="C7" t="str">
        <f t="shared" si="1"/>
        <v>Away + Home score is 16 or more</v>
      </c>
      <c r="D7" t="str">
        <f t="shared" si="2"/>
        <v>Away + Home score is 15</v>
      </c>
    </row>
    <row r="8" spans="1:4" x14ac:dyDescent="0.25">
      <c r="A8" s="2">
        <f t="shared" si="3"/>
        <v>16</v>
      </c>
      <c r="B8" t="str">
        <f t="shared" si="0"/>
        <v>Away + Home score is 15 or less</v>
      </c>
      <c r="C8" t="str">
        <f t="shared" si="1"/>
        <v>Away + Home score is 17 or more</v>
      </c>
      <c r="D8" t="str">
        <f t="shared" si="2"/>
        <v>Away + Home score is 16</v>
      </c>
    </row>
    <row r="9" spans="1:4" x14ac:dyDescent="0.25">
      <c r="A9" s="2">
        <f t="shared" si="3"/>
        <v>17</v>
      </c>
      <c r="B9" t="str">
        <f t="shared" si="0"/>
        <v>Away + Home score is 16 or less</v>
      </c>
      <c r="C9" t="str">
        <f t="shared" si="1"/>
        <v>Away + Home score is 18 or more</v>
      </c>
      <c r="D9" t="str">
        <f t="shared" si="2"/>
        <v>Away + Home score is 17</v>
      </c>
    </row>
    <row r="10" spans="1:4" x14ac:dyDescent="0.25">
      <c r="A10" s="2">
        <f t="shared" si="3"/>
        <v>18</v>
      </c>
      <c r="B10" t="str">
        <f t="shared" si="0"/>
        <v>Away + Home score is 17 or less</v>
      </c>
      <c r="C10" t="str">
        <f t="shared" si="1"/>
        <v>Away + Home score is 19 or more</v>
      </c>
      <c r="D10" t="str">
        <f t="shared" si="2"/>
        <v>Away + Home score is 18</v>
      </c>
    </row>
    <row r="11" spans="1:4" x14ac:dyDescent="0.25">
      <c r="A11" s="2">
        <f t="shared" si="3"/>
        <v>19</v>
      </c>
      <c r="B11" t="str">
        <f t="shared" si="0"/>
        <v>Away + Home score is 18 or less</v>
      </c>
      <c r="C11" t="str">
        <f t="shared" si="1"/>
        <v>Away + Home score is 20 or more</v>
      </c>
      <c r="D11" t="str">
        <f t="shared" si="2"/>
        <v>Away + Home score is 19</v>
      </c>
    </row>
    <row r="12" spans="1:4" x14ac:dyDescent="0.25">
      <c r="A12" s="2">
        <f t="shared" si="3"/>
        <v>20</v>
      </c>
      <c r="B12" t="str">
        <f t="shared" si="0"/>
        <v>Away + Home score is 19 or less</v>
      </c>
      <c r="C12" t="str">
        <f t="shared" si="1"/>
        <v>Away + Home score is 21 or more</v>
      </c>
      <c r="D12" t="str">
        <f t="shared" si="2"/>
        <v>Away + Home score is 20</v>
      </c>
    </row>
    <row r="13" spans="1:4" x14ac:dyDescent="0.25">
      <c r="A13" s="2">
        <f t="shared" si="3"/>
        <v>21</v>
      </c>
      <c r="B13" t="str">
        <f t="shared" si="0"/>
        <v>Away + Home score is 20 or less</v>
      </c>
      <c r="C13" t="str">
        <f t="shared" si="1"/>
        <v>Away + Home score is 22 or more</v>
      </c>
      <c r="D13" t="str">
        <f t="shared" si="2"/>
        <v>Away + Home score is 21</v>
      </c>
    </row>
    <row r="14" spans="1:4" x14ac:dyDescent="0.25">
      <c r="A14" s="2">
        <f t="shared" si="3"/>
        <v>22</v>
      </c>
      <c r="B14" t="str">
        <f t="shared" si="0"/>
        <v>Away + Home score is 21 or less</v>
      </c>
      <c r="C14" t="str">
        <f t="shared" si="1"/>
        <v>Away + Home score is 23 or more</v>
      </c>
      <c r="D14" t="str">
        <f t="shared" si="2"/>
        <v>Away + Home score is 22</v>
      </c>
    </row>
    <row r="15" spans="1:4" x14ac:dyDescent="0.25">
      <c r="A15" s="2">
        <f t="shared" si="3"/>
        <v>23</v>
      </c>
      <c r="B15" t="str">
        <f t="shared" si="0"/>
        <v>Away + Home score is 22 or less</v>
      </c>
      <c r="C15" t="str">
        <f t="shared" si="1"/>
        <v>Away + Home score is 24 or more</v>
      </c>
      <c r="D15" t="str">
        <f t="shared" si="2"/>
        <v>Away + Home score is 23</v>
      </c>
    </row>
    <row r="16" spans="1:4" x14ac:dyDescent="0.25">
      <c r="A16" s="2">
        <f t="shared" si="3"/>
        <v>24</v>
      </c>
      <c r="B16" t="str">
        <f t="shared" si="0"/>
        <v>Away + Home score is 23 or less</v>
      </c>
      <c r="C16" t="str">
        <f t="shared" si="1"/>
        <v>Away + Home score is 25 or more</v>
      </c>
      <c r="D16" t="str">
        <f t="shared" si="2"/>
        <v>Away + Home score is 24</v>
      </c>
    </row>
    <row r="17" spans="1:4" x14ac:dyDescent="0.25">
      <c r="A17" s="2">
        <f t="shared" si="3"/>
        <v>25</v>
      </c>
      <c r="B17" t="str">
        <f t="shared" si="0"/>
        <v>Away + Home score is 24 or less</v>
      </c>
      <c r="C17" t="str">
        <f t="shared" si="1"/>
        <v>Away + Home score is 26 or more</v>
      </c>
      <c r="D17" t="str">
        <f t="shared" si="2"/>
        <v>Away + Home score is 25</v>
      </c>
    </row>
    <row r="18" spans="1:4" x14ac:dyDescent="0.25">
      <c r="A18" s="2">
        <f t="shared" si="3"/>
        <v>26</v>
      </c>
      <c r="B18" t="str">
        <f t="shared" si="0"/>
        <v>Away + Home score is 25 or less</v>
      </c>
      <c r="C18" t="str">
        <f t="shared" si="1"/>
        <v>Away + Home score is 27 or more</v>
      </c>
      <c r="D18" t="str">
        <f t="shared" si="2"/>
        <v>Away + Home score is 26</v>
      </c>
    </row>
    <row r="19" spans="1:4" x14ac:dyDescent="0.25">
      <c r="A19" s="2">
        <f t="shared" si="3"/>
        <v>27</v>
      </c>
      <c r="B19" t="str">
        <f t="shared" si="0"/>
        <v>Away + Home score is 26 or less</v>
      </c>
      <c r="C19" t="str">
        <f t="shared" si="1"/>
        <v>Away + Home score is 28 or more</v>
      </c>
      <c r="D19" t="str">
        <f t="shared" si="2"/>
        <v>Away + Home score is 27</v>
      </c>
    </row>
    <row r="20" spans="1:4" x14ac:dyDescent="0.25">
      <c r="A20" s="2">
        <f t="shared" si="3"/>
        <v>28</v>
      </c>
      <c r="B20" t="str">
        <f t="shared" si="0"/>
        <v>Away + Home score is 27 or less</v>
      </c>
      <c r="C20" t="str">
        <f t="shared" si="1"/>
        <v>Away + Home score is 29 or more</v>
      </c>
      <c r="D20" t="str">
        <f t="shared" si="2"/>
        <v>Away + Home score is 28</v>
      </c>
    </row>
    <row r="21" spans="1:4" x14ac:dyDescent="0.25">
      <c r="A21" s="2">
        <f t="shared" si="3"/>
        <v>29</v>
      </c>
      <c r="B21" t="str">
        <f t="shared" si="0"/>
        <v>Away + Home score is 28 or less</v>
      </c>
      <c r="C21" t="str">
        <f t="shared" si="1"/>
        <v>Away + Home score is 30 or more</v>
      </c>
      <c r="D21" t="str">
        <f t="shared" si="2"/>
        <v>Away + Home score is 29</v>
      </c>
    </row>
    <row r="22" spans="1:4" x14ac:dyDescent="0.25">
      <c r="A22" s="2">
        <f t="shared" si="3"/>
        <v>30</v>
      </c>
      <c r="B22" t="str">
        <f t="shared" si="0"/>
        <v>Away + Home score is 29 or less</v>
      </c>
      <c r="C22" t="str">
        <f t="shared" si="1"/>
        <v>Away + Home score is 31 or more</v>
      </c>
      <c r="D22" t="str">
        <f t="shared" si="2"/>
        <v>Away + Home score is 30</v>
      </c>
    </row>
    <row r="23" spans="1:4" x14ac:dyDescent="0.25">
      <c r="A23" s="2">
        <f t="shared" si="3"/>
        <v>31</v>
      </c>
      <c r="B23" t="str">
        <f t="shared" si="0"/>
        <v>Away + Home score is 30 or less</v>
      </c>
      <c r="C23" t="str">
        <f t="shared" si="1"/>
        <v>Away + Home score is 32 or more</v>
      </c>
      <c r="D23" t="str">
        <f t="shared" si="2"/>
        <v>Away + Home score is 31</v>
      </c>
    </row>
    <row r="24" spans="1:4" x14ac:dyDescent="0.25">
      <c r="A24" s="2">
        <f t="shared" si="3"/>
        <v>32</v>
      </c>
      <c r="B24" t="str">
        <f t="shared" si="0"/>
        <v>Away + Home score is 31 or less</v>
      </c>
      <c r="C24" t="str">
        <f t="shared" si="1"/>
        <v>Away + Home score is 33 or more</v>
      </c>
      <c r="D24" t="str">
        <f t="shared" si="2"/>
        <v>Away + Home score is 32</v>
      </c>
    </row>
    <row r="25" spans="1:4" x14ac:dyDescent="0.25">
      <c r="A25" s="2">
        <f t="shared" si="3"/>
        <v>33</v>
      </c>
      <c r="B25" t="str">
        <f t="shared" si="0"/>
        <v>Away + Home score is 32 or less</v>
      </c>
      <c r="C25" t="str">
        <f t="shared" si="1"/>
        <v>Away + Home score is 34 or more</v>
      </c>
      <c r="D25" t="str">
        <f t="shared" si="2"/>
        <v>Away + Home score is 33</v>
      </c>
    </row>
    <row r="26" spans="1:4" x14ac:dyDescent="0.25">
      <c r="A26" s="2">
        <f t="shared" si="3"/>
        <v>34</v>
      </c>
      <c r="B26" t="str">
        <f t="shared" si="0"/>
        <v>Away + Home score is 33 or less</v>
      </c>
      <c r="C26" t="str">
        <f t="shared" si="1"/>
        <v>Away + Home score is 35 or more</v>
      </c>
      <c r="D26" t="str">
        <f t="shared" si="2"/>
        <v>Away + Home score is 34</v>
      </c>
    </row>
    <row r="27" spans="1:4" x14ac:dyDescent="0.25">
      <c r="A27" s="2">
        <f t="shared" si="3"/>
        <v>35</v>
      </c>
      <c r="B27" t="str">
        <f t="shared" si="0"/>
        <v>Away + Home score is 34 or less</v>
      </c>
      <c r="C27" t="str">
        <f t="shared" si="1"/>
        <v>Away + Home score is 36 or more</v>
      </c>
      <c r="D27" t="str">
        <f t="shared" si="2"/>
        <v>Away + Home score is 35</v>
      </c>
    </row>
    <row r="28" spans="1:4" x14ac:dyDescent="0.25">
      <c r="A28" s="2">
        <f t="shared" si="3"/>
        <v>36</v>
      </c>
      <c r="B28" t="str">
        <f t="shared" si="0"/>
        <v>Away + Home score is 35 or less</v>
      </c>
      <c r="C28" t="str">
        <f t="shared" si="1"/>
        <v>Away + Home score is 37 or more</v>
      </c>
      <c r="D28" t="str">
        <f t="shared" si="2"/>
        <v>Away + Home score is 36</v>
      </c>
    </row>
    <row r="29" spans="1:4" x14ac:dyDescent="0.25">
      <c r="A29" s="2">
        <f t="shared" si="3"/>
        <v>37</v>
      </c>
      <c r="B29" t="str">
        <f t="shared" si="0"/>
        <v>Away + Home score is 36 or less</v>
      </c>
      <c r="C29" t="str">
        <f t="shared" si="1"/>
        <v>Away + Home score is 38 or more</v>
      </c>
      <c r="D29" t="str">
        <f t="shared" si="2"/>
        <v>Away + Home score is 37</v>
      </c>
    </row>
    <row r="30" spans="1:4" x14ac:dyDescent="0.25">
      <c r="A30" s="2">
        <f t="shared" si="3"/>
        <v>38</v>
      </c>
      <c r="B30" t="str">
        <f t="shared" si="0"/>
        <v>Away + Home score is 37 or less</v>
      </c>
      <c r="C30" t="str">
        <f t="shared" si="1"/>
        <v>Away + Home score is 39 or more</v>
      </c>
      <c r="D30" t="str">
        <f t="shared" si="2"/>
        <v>Away + Home score is 38</v>
      </c>
    </row>
    <row r="31" spans="1:4" x14ac:dyDescent="0.25">
      <c r="A31" s="2">
        <f t="shared" si="3"/>
        <v>39</v>
      </c>
      <c r="B31" t="str">
        <f t="shared" si="0"/>
        <v>Away + Home score is 38 or less</v>
      </c>
      <c r="C31" t="str">
        <f t="shared" si="1"/>
        <v>Away + Home score is 40 or more</v>
      </c>
      <c r="D31" t="str">
        <f t="shared" si="2"/>
        <v>Away + Home score is 39</v>
      </c>
    </row>
    <row r="32" spans="1:4" x14ac:dyDescent="0.25">
      <c r="A32" s="2">
        <f t="shared" si="3"/>
        <v>40</v>
      </c>
      <c r="B32" t="str">
        <f t="shared" si="0"/>
        <v>Away + Home score is 39 or less</v>
      </c>
      <c r="C32" t="str">
        <f t="shared" si="1"/>
        <v>Away + Home score is 41 or more</v>
      </c>
      <c r="D32" t="str">
        <f t="shared" si="2"/>
        <v>Away + Home score is 40</v>
      </c>
    </row>
    <row r="33" spans="1:4" x14ac:dyDescent="0.25">
      <c r="A33" s="2">
        <f t="shared" si="3"/>
        <v>41</v>
      </c>
      <c r="B33" t="str">
        <f t="shared" si="0"/>
        <v>Away + Home score is 40 or less</v>
      </c>
      <c r="C33" t="str">
        <f t="shared" si="1"/>
        <v>Away + Home score is 42 or more</v>
      </c>
      <c r="D33" t="str">
        <f t="shared" si="2"/>
        <v>Away + Home score is 41</v>
      </c>
    </row>
    <row r="34" spans="1:4" x14ac:dyDescent="0.25">
      <c r="A34" s="2">
        <f t="shared" si="3"/>
        <v>42</v>
      </c>
      <c r="B34" t="str">
        <f t="shared" ref="B34:B65" si="4">"Away + Home score is "&amp;A34-1&amp;" or less"</f>
        <v>Away + Home score is 41 or less</v>
      </c>
      <c r="C34" t="str">
        <f t="shared" ref="C34:C65" si="5">"Away + Home score is "&amp;A34+1&amp;" or more"</f>
        <v>Away + Home score is 43 or more</v>
      </c>
      <c r="D34" t="str">
        <f t="shared" ref="D34:D65" si="6">"Away + Home score is "&amp;A34</f>
        <v>Away + Home score is 42</v>
      </c>
    </row>
    <row r="35" spans="1:4" x14ac:dyDescent="0.25">
      <c r="A35" s="2">
        <f t="shared" si="3"/>
        <v>43</v>
      </c>
      <c r="B35" t="str">
        <f t="shared" si="4"/>
        <v>Away + Home score is 42 or less</v>
      </c>
      <c r="C35" t="str">
        <f t="shared" si="5"/>
        <v>Away + Home score is 44 or more</v>
      </c>
      <c r="D35" t="str">
        <f t="shared" si="6"/>
        <v>Away + Home score is 43</v>
      </c>
    </row>
    <row r="36" spans="1:4" x14ac:dyDescent="0.25">
      <c r="A36" s="2">
        <f t="shared" si="3"/>
        <v>44</v>
      </c>
      <c r="B36" t="str">
        <f t="shared" si="4"/>
        <v>Away + Home score is 43 or less</v>
      </c>
      <c r="C36" t="str">
        <f t="shared" si="5"/>
        <v>Away + Home score is 45 or more</v>
      </c>
      <c r="D36" t="str">
        <f t="shared" si="6"/>
        <v>Away + Home score is 44</v>
      </c>
    </row>
    <row r="37" spans="1:4" x14ac:dyDescent="0.25">
      <c r="A37" s="2">
        <f t="shared" si="3"/>
        <v>45</v>
      </c>
      <c r="B37" t="str">
        <f t="shared" si="4"/>
        <v>Away + Home score is 44 or less</v>
      </c>
      <c r="C37" t="str">
        <f t="shared" si="5"/>
        <v>Away + Home score is 46 or more</v>
      </c>
      <c r="D37" t="str">
        <f t="shared" si="6"/>
        <v>Away + Home score is 45</v>
      </c>
    </row>
    <row r="38" spans="1:4" x14ac:dyDescent="0.25">
      <c r="A38" s="2">
        <f t="shared" si="3"/>
        <v>46</v>
      </c>
      <c r="B38" t="str">
        <f t="shared" si="4"/>
        <v>Away + Home score is 45 or less</v>
      </c>
      <c r="C38" t="str">
        <f t="shared" si="5"/>
        <v>Away + Home score is 47 or more</v>
      </c>
      <c r="D38" t="str">
        <f t="shared" si="6"/>
        <v>Away + Home score is 46</v>
      </c>
    </row>
    <row r="39" spans="1:4" x14ac:dyDescent="0.25">
      <c r="A39" s="2">
        <f t="shared" si="3"/>
        <v>47</v>
      </c>
      <c r="B39" t="str">
        <f t="shared" si="4"/>
        <v>Away + Home score is 46 or less</v>
      </c>
      <c r="C39" t="str">
        <f t="shared" si="5"/>
        <v>Away + Home score is 48 or more</v>
      </c>
      <c r="D39" t="str">
        <f t="shared" si="6"/>
        <v>Away + Home score is 47</v>
      </c>
    </row>
    <row r="40" spans="1:4" x14ac:dyDescent="0.25">
      <c r="A40" s="2">
        <f t="shared" si="3"/>
        <v>48</v>
      </c>
      <c r="B40" t="str">
        <f t="shared" si="4"/>
        <v>Away + Home score is 47 or less</v>
      </c>
      <c r="C40" t="str">
        <f t="shared" si="5"/>
        <v>Away + Home score is 49 or more</v>
      </c>
      <c r="D40" t="str">
        <f t="shared" si="6"/>
        <v>Away + Home score is 48</v>
      </c>
    </row>
    <row r="41" spans="1:4" x14ac:dyDescent="0.25">
      <c r="A41" s="2">
        <f t="shared" si="3"/>
        <v>49</v>
      </c>
      <c r="B41" t="str">
        <f t="shared" si="4"/>
        <v>Away + Home score is 48 or less</v>
      </c>
      <c r="C41" t="str">
        <f t="shared" si="5"/>
        <v>Away + Home score is 50 or more</v>
      </c>
      <c r="D41" t="str">
        <f t="shared" si="6"/>
        <v>Away + Home score is 49</v>
      </c>
    </row>
    <row r="42" spans="1:4" x14ac:dyDescent="0.25">
      <c r="A42" s="2">
        <f t="shared" si="3"/>
        <v>50</v>
      </c>
      <c r="B42" t="str">
        <f t="shared" si="4"/>
        <v>Away + Home score is 49 or less</v>
      </c>
      <c r="C42" t="str">
        <f t="shared" si="5"/>
        <v>Away + Home score is 51 or more</v>
      </c>
      <c r="D42" t="str">
        <f t="shared" si="6"/>
        <v>Away + Home score is 50</v>
      </c>
    </row>
    <row r="43" spans="1:4" x14ac:dyDescent="0.25">
      <c r="A43" s="2">
        <f t="shared" si="3"/>
        <v>51</v>
      </c>
      <c r="B43" t="str">
        <f t="shared" si="4"/>
        <v>Away + Home score is 50 or less</v>
      </c>
      <c r="C43" t="str">
        <f t="shared" si="5"/>
        <v>Away + Home score is 52 or more</v>
      </c>
      <c r="D43" t="str">
        <f t="shared" si="6"/>
        <v>Away + Home score is 51</v>
      </c>
    </row>
    <row r="44" spans="1:4" x14ac:dyDescent="0.25">
      <c r="A44" s="2">
        <f t="shared" si="3"/>
        <v>52</v>
      </c>
      <c r="B44" t="str">
        <f t="shared" si="4"/>
        <v>Away + Home score is 51 or less</v>
      </c>
      <c r="C44" t="str">
        <f t="shared" si="5"/>
        <v>Away + Home score is 53 or more</v>
      </c>
      <c r="D44" t="str">
        <f t="shared" si="6"/>
        <v>Away + Home score is 52</v>
      </c>
    </row>
    <row r="45" spans="1:4" x14ac:dyDescent="0.25">
      <c r="A45" s="2">
        <f t="shared" si="3"/>
        <v>53</v>
      </c>
      <c r="B45" t="str">
        <f t="shared" si="4"/>
        <v>Away + Home score is 52 or less</v>
      </c>
      <c r="C45" t="str">
        <f t="shared" si="5"/>
        <v>Away + Home score is 54 or more</v>
      </c>
      <c r="D45" t="str">
        <f t="shared" si="6"/>
        <v>Away + Home score is 53</v>
      </c>
    </row>
    <row r="46" spans="1:4" x14ac:dyDescent="0.25">
      <c r="A46" s="2">
        <f t="shared" si="3"/>
        <v>54</v>
      </c>
      <c r="B46" t="str">
        <f t="shared" si="4"/>
        <v>Away + Home score is 53 or less</v>
      </c>
      <c r="C46" t="str">
        <f t="shared" si="5"/>
        <v>Away + Home score is 55 or more</v>
      </c>
      <c r="D46" t="str">
        <f t="shared" si="6"/>
        <v>Away + Home score is 54</v>
      </c>
    </row>
    <row r="47" spans="1:4" x14ac:dyDescent="0.25">
      <c r="A47" s="2">
        <f t="shared" si="3"/>
        <v>55</v>
      </c>
      <c r="B47" t="str">
        <f t="shared" si="4"/>
        <v>Away + Home score is 54 or less</v>
      </c>
      <c r="C47" t="str">
        <f t="shared" si="5"/>
        <v>Away + Home score is 56 or more</v>
      </c>
      <c r="D47" t="str">
        <f t="shared" si="6"/>
        <v>Away + Home score is 55</v>
      </c>
    </row>
    <row r="48" spans="1:4" x14ac:dyDescent="0.25">
      <c r="A48" s="2">
        <f t="shared" si="3"/>
        <v>56</v>
      </c>
      <c r="B48" t="str">
        <f t="shared" si="4"/>
        <v>Away + Home score is 55 or less</v>
      </c>
      <c r="C48" t="str">
        <f t="shared" si="5"/>
        <v>Away + Home score is 57 or more</v>
      </c>
      <c r="D48" t="str">
        <f t="shared" si="6"/>
        <v>Away + Home score is 56</v>
      </c>
    </row>
    <row r="49" spans="1:4" x14ac:dyDescent="0.25">
      <c r="A49" s="2">
        <f t="shared" si="3"/>
        <v>57</v>
      </c>
      <c r="B49" t="str">
        <f t="shared" si="4"/>
        <v>Away + Home score is 56 or less</v>
      </c>
      <c r="C49" t="str">
        <f t="shared" si="5"/>
        <v>Away + Home score is 58 or more</v>
      </c>
      <c r="D49" t="str">
        <f t="shared" si="6"/>
        <v>Away + Home score is 57</v>
      </c>
    </row>
    <row r="50" spans="1:4" x14ac:dyDescent="0.25">
      <c r="A50" s="2">
        <f t="shared" si="3"/>
        <v>58</v>
      </c>
      <c r="B50" t="str">
        <f t="shared" si="4"/>
        <v>Away + Home score is 57 or less</v>
      </c>
      <c r="C50" t="str">
        <f t="shared" si="5"/>
        <v>Away + Home score is 59 or more</v>
      </c>
      <c r="D50" t="str">
        <f t="shared" si="6"/>
        <v>Away + Home score is 58</v>
      </c>
    </row>
    <row r="51" spans="1:4" x14ac:dyDescent="0.25">
      <c r="A51" s="2">
        <f t="shared" si="3"/>
        <v>59</v>
      </c>
      <c r="B51" t="str">
        <f t="shared" si="4"/>
        <v>Away + Home score is 58 or less</v>
      </c>
      <c r="C51" t="str">
        <f t="shared" si="5"/>
        <v>Away + Home score is 60 or more</v>
      </c>
      <c r="D51" t="str">
        <f t="shared" si="6"/>
        <v>Away + Home score is 59</v>
      </c>
    </row>
    <row r="52" spans="1:4" x14ac:dyDescent="0.25">
      <c r="A52" s="2">
        <f t="shared" si="3"/>
        <v>60</v>
      </c>
      <c r="B52" t="str">
        <f t="shared" si="4"/>
        <v>Away + Home score is 59 or less</v>
      </c>
      <c r="C52" t="str">
        <f t="shared" si="5"/>
        <v>Away + Home score is 61 or more</v>
      </c>
      <c r="D52" t="str">
        <f t="shared" si="6"/>
        <v>Away + Home score is 60</v>
      </c>
    </row>
    <row r="53" spans="1:4" x14ac:dyDescent="0.25">
      <c r="A53" s="2">
        <f t="shared" si="3"/>
        <v>61</v>
      </c>
      <c r="B53" t="str">
        <f t="shared" si="4"/>
        <v>Away + Home score is 60 or less</v>
      </c>
      <c r="C53" t="str">
        <f t="shared" si="5"/>
        <v>Away + Home score is 62 or more</v>
      </c>
      <c r="D53" t="str">
        <f t="shared" si="6"/>
        <v>Away + Home score is 61</v>
      </c>
    </row>
    <row r="54" spans="1:4" x14ac:dyDescent="0.25">
      <c r="A54" s="2">
        <f t="shared" si="3"/>
        <v>62</v>
      </c>
      <c r="B54" t="str">
        <f t="shared" si="4"/>
        <v>Away + Home score is 61 or less</v>
      </c>
      <c r="C54" t="str">
        <f t="shared" si="5"/>
        <v>Away + Home score is 63 or more</v>
      </c>
      <c r="D54" t="str">
        <f t="shared" si="6"/>
        <v>Away + Home score is 62</v>
      </c>
    </row>
    <row r="55" spans="1:4" x14ac:dyDescent="0.25">
      <c r="A55" s="2">
        <f t="shared" si="3"/>
        <v>63</v>
      </c>
      <c r="B55" t="str">
        <f t="shared" si="4"/>
        <v>Away + Home score is 62 or less</v>
      </c>
      <c r="C55" t="str">
        <f t="shared" si="5"/>
        <v>Away + Home score is 64 or more</v>
      </c>
      <c r="D55" t="str">
        <f t="shared" si="6"/>
        <v>Away + Home score is 63</v>
      </c>
    </row>
    <row r="56" spans="1:4" x14ac:dyDescent="0.25">
      <c r="A56" s="2">
        <f t="shared" si="3"/>
        <v>64</v>
      </c>
      <c r="B56" t="str">
        <f t="shared" si="4"/>
        <v>Away + Home score is 63 or less</v>
      </c>
      <c r="C56" t="str">
        <f t="shared" si="5"/>
        <v>Away + Home score is 65 or more</v>
      </c>
      <c r="D56" t="str">
        <f t="shared" si="6"/>
        <v>Away + Home score is 64</v>
      </c>
    </row>
    <row r="57" spans="1:4" x14ac:dyDescent="0.25">
      <c r="A57" s="2">
        <f t="shared" si="3"/>
        <v>65</v>
      </c>
      <c r="B57" t="str">
        <f t="shared" si="4"/>
        <v>Away + Home score is 64 or less</v>
      </c>
      <c r="C57" t="str">
        <f t="shared" si="5"/>
        <v>Away + Home score is 66 or more</v>
      </c>
      <c r="D57" t="str">
        <f t="shared" si="6"/>
        <v>Away + Home score is 65</v>
      </c>
    </row>
    <row r="58" spans="1:4" x14ac:dyDescent="0.25">
      <c r="A58" s="2">
        <f t="shared" si="3"/>
        <v>66</v>
      </c>
      <c r="B58" t="str">
        <f t="shared" si="4"/>
        <v>Away + Home score is 65 or less</v>
      </c>
      <c r="C58" t="str">
        <f t="shared" si="5"/>
        <v>Away + Home score is 67 or more</v>
      </c>
      <c r="D58" t="str">
        <f t="shared" si="6"/>
        <v>Away + Home score is 66</v>
      </c>
    </row>
    <row r="59" spans="1:4" x14ac:dyDescent="0.25">
      <c r="A59" s="2">
        <f t="shared" si="3"/>
        <v>67</v>
      </c>
      <c r="B59" t="str">
        <f t="shared" si="4"/>
        <v>Away + Home score is 66 or less</v>
      </c>
      <c r="C59" t="str">
        <f t="shared" si="5"/>
        <v>Away + Home score is 68 or more</v>
      </c>
      <c r="D59" t="str">
        <f t="shared" si="6"/>
        <v>Away + Home score is 67</v>
      </c>
    </row>
    <row r="60" spans="1:4" x14ac:dyDescent="0.25">
      <c r="A60" s="2">
        <f t="shared" si="3"/>
        <v>68</v>
      </c>
      <c r="B60" t="str">
        <f t="shared" si="4"/>
        <v>Away + Home score is 67 or less</v>
      </c>
      <c r="C60" t="str">
        <f t="shared" si="5"/>
        <v>Away + Home score is 69 or more</v>
      </c>
      <c r="D60" t="str">
        <f t="shared" si="6"/>
        <v>Away + Home score is 68</v>
      </c>
    </row>
    <row r="61" spans="1:4" x14ac:dyDescent="0.25">
      <c r="A61" s="2">
        <f t="shared" si="3"/>
        <v>69</v>
      </c>
      <c r="B61" t="str">
        <f t="shared" si="4"/>
        <v>Away + Home score is 68 or less</v>
      </c>
      <c r="C61" t="str">
        <f t="shared" si="5"/>
        <v>Away + Home score is 70 or more</v>
      </c>
      <c r="D61" t="str">
        <f t="shared" si="6"/>
        <v>Away + Home score is 69</v>
      </c>
    </row>
    <row r="62" spans="1:4" x14ac:dyDescent="0.25">
      <c r="A62" s="2">
        <f t="shared" si="3"/>
        <v>70</v>
      </c>
      <c r="B62" t="str">
        <f t="shared" si="4"/>
        <v>Away + Home score is 69 or less</v>
      </c>
      <c r="C62" t="str">
        <f t="shared" si="5"/>
        <v>Away + Home score is 71 or more</v>
      </c>
      <c r="D62" t="str">
        <f t="shared" si="6"/>
        <v>Away + Home score is 70</v>
      </c>
    </row>
    <row r="63" spans="1:4" x14ac:dyDescent="0.25">
      <c r="A63" s="2">
        <f t="shared" si="3"/>
        <v>71</v>
      </c>
      <c r="B63" t="str">
        <f t="shared" si="4"/>
        <v>Away + Home score is 70 or less</v>
      </c>
      <c r="C63" t="str">
        <f t="shared" si="5"/>
        <v>Away + Home score is 72 or more</v>
      </c>
      <c r="D63" t="str">
        <f t="shared" si="6"/>
        <v>Away + Home score is 71</v>
      </c>
    </row>
    <row r="64" spans="1:4" x14ac:dyDescent="0.25">
      <c r="A64" s="2">
        <f t="shared" si="3"/>
        <v>72</v>
      </c>
      <c r="B64" t="str">
        <f t="shared" si="4"/>
        <v>Away + Home score is 71 or less</v>
      </c>
      <c r="C64" t="str">
        <f t="shared" si="5"/>
        <v>Away + Home score is 73 or more</v>
      </c>
      <c r="D64" t="str">
        <f t="shared" si="6"/>
        <v>Away + Home score is 72</v>
      </c>
    </row>
    <row r="65" spans="1:4" x14ac:dyDescent="0.25">
      <c r="A65" s="2">
        <f t="shared" si="3"/>
        <v>73</v>
      </c>
      <c r="B65" t="str">
        <f t="shared" si="4"/>
        <v>Away + Home score is 72 or less</v>
      </c>
      <c r="C65" t="str">
        <f t="shared" si="5"/>
        <v>Away + Home score is 74 or more</v>
      </c>
      <c r="D65" t="str">
        <f t="shared" si="6"/>
        <v>Away + Home score is 73</v>
      </c>
    </row>
    <row r="66" spans="1:4" x14ac:dyDescent="0.25">
      <c r="A66" s="2">
        <f t="shared" si="3"/>
        <v>74</v>
      </c>
      <c r="B66" t="str">
        <f t="shared" ref="B66:B92" si="7">"Away + Home score is "&amp;A66-1&amp;" or less"</f>
        <v>Away + Home score is 73 or less</v>
      </c>
      <c r="C66" t="str">
        <f t="shared" ref="C66:C92" si="8">"Away + Home score is "&amp;A66+1&amp;" or more"</f>
        <v>Away + Home score is 75 or more</v>
      </c>
      <c r="D66" t="str">
        <f t="shared" ref="D66:D92" si="9">"Away + Home score is "&amp;A66</f>
        <v>Away + Home score is 74</v>
      </c>
    </row>
    <row r="67" spans="1:4" x14ac:dyDescent="0.25">
      <c r="A67" s="2">
        <f t="shared" si="3"/>
        <v>75</v>
      </c>
      <c r="B67" t="str">
        <f t="shared" si="7"/>
        <v>Away + Home score is 74 or less</v>
      </c>
      <c r="C67" t="str">
        <f t="shared" si="8"/>
        <v>Away + Home score is 76 or more</v>
      </c>
      <c r="D67" t="str">
        <f t="shared" si="9"/>
        <v>Away + Home score is 75</v>
      </c>
    </row>
    <row r="68" spans="1:4" x14ac:dyDescent="0.25">
      <c r="A68" s="2">
        <f t="shared" ref="A68:A92" si="10">A67+1</f>
        <v>76</v>
      </c>
      <c r="B68" t="str">
        <f t="shared" si="7"/>
        <v>Away + Home score is 75 or less</v>
      </c>
      <c r="C68" t="str">
        <f t="shared" si="8"/>
        <v>Away + Home score is 77 or more</v>
      </c>
      <c r="D68" t="str">
        <f t="shared" si="9"/>
        <v>Away + Home score is 76</v>
      </c>
    </row>
    <row r="69" spans="1:4" x14ac:dyDescent="0.25">
      <c r="A69" s="2">
        <f t="shared" si="10"/>
        <v>77</v>
      </c>
      <c r="B69" t="str">
        <f t="shared" si="7"/>
        <v>Away + Home score is 76 or less</v>
      </c>
      <c r="C69" t="str">
        <f t="shared" si="8"/>
        <v>Away + Home score is 78 or more</v>
      </c>
      <c r="D69" t="str">
        <f t="shared" si="9"/>
        <v>Away + Home score is 77</v>
      </c>
    </row>
    <row r="70" spans="1:4" x14ac:dyDescent="0.25">
      <c r="A70" s="2">
        <f t="shared" si="10"/>
        <v>78</v>
      </c>
      <c r="B70" t="str">
        <f t="shared" si="7"/>
        <v>Away + Home score is 77 or less</v>
      </c>
      <c r="C70" t="str">
        <f t="shared" si="8"/>
        <v>Away + Home score is 79 or more</v>
      </c>
      <c r="D70" t="str">
        <f t="shared" si="9"/>
        <v>Away + Home score is 78</v>
      </c>
    </row>
    <row r="71" spans="1:4" x14ac:dyDescent="0.25">
      <c r="A71" s="2">
        <f t="shared" si="10"/>
        <v>79</v>
      </c>
      <c r="B71" t="str">
        <f t="shared" si="7"/>
        <v>Away + Home score is 78 or less</v>
      </c>
      <c r="C71" t="str">
        <f t="shared" si="8"/>
        <v>Away + Home score is 80 or more</v>
      </c>
      <c r="D71" t="str">
        <f t="shared" si="9"/>
        <v>Away + Home score is 79</v>
      </c>
    </row>
    <row r="72" spans="1:4" x14ac:dyDescent="0.25">
      <c r="A72" s="2">
        <f t="shared" si="10"/>
        <v>80</v>
      </c>
      <c r="B72" t="str">
        <f t="shared" si="7"/>
        <v>Away + Home score is 79 or less</v>
      </c>
      <c r="C72" t="str">
        <f t="shared" si="8"/>
        <v>Away + Home score is 81 or more</v>
      </c>
      <c r="D72" t="str">
        <f t="shared" si="9"/>
        <v>Away + Home score is 80</v>
      </c>
    </row>
    <row r="73" spans="1:4" x14ac:dyDescent="0.25">
      <c r="A73" s="2">
        <f t="shared" si="10"/>
        <v>81</v>
      </c>
      <c r="B73" t="str">
        <f t="shared" si="7"/>
        <v>Away + Home score is 80 or less</v>
      </c>
      <c r="C73" t="str">
        <f t="shared" si="8"/>
        <v>Away + Home score is 82 or more</v>
      </c>
      <c r="D73" t="str">
        <f t="shared" si="9"/>
        <v>Away + Home score is 81</v>
      </c>
    </row>
    <row r="74" spans="1:4" x14ac:dyDescent="0.25">
      <c r="A74" s="2">
        <f t="shared" si="10"/>
        <v>82</v>
      </c>
      <c r="B74" t="str">
        <f t="shared" si="7"/>
        <v>Away + Home score is 81 or less</v>
      </c>
      <c r="C74" t="str">
        <f t="shared" si="8"/>
        <v>Away + Home score is 83 or more</v>
      </c>
      <c r="D74" t="str">
        <f t="shared" si="9"/>
        <v>Away + Home score is 82</v>
      </c>
    </row>
    <row r="75" spans="1:4" x14ac:dyDescent="0.25">
      <c r="A75" s="2">
        <f t="shared" si="10"/>
        <v>83</v>
      </c>
      <c r="B75" t="str">
        <f t="shared" si="7"/>
        <v>Away + Home score is 82 or less</v>
      </c>
      <c r="C75" t="str">
        <f t="shared" si="8"/>
        <v>Away + Home score is 84 or more</v>
      </c>
      <c r="D75" t="str">
        <f t="shared" si="9"/>
        <v>Away + Home score is 83</v>
      </c>
    </row>
    <row r="76" spans="1:4" x14ac:dyDescent="0.25">
      <c r="A76" s="2">
        <f t="shared" si="10"/>
        <v>84</v>
      </c>
      <c r="B76" t="str">
        <f t="shared" si="7"/>
        <v>Away + Home score is 83 or less</v>
      </c>
      <c r="C76" t="str">
        <f t="shared" si="8"/>
        <v>Away + Home score is 85 or more</v>
      </c>
      <c r="D76" t="str">
        <f t="shared" si="9"/>
        <v>Away + Home score is 84</v>
      </c>
    </row>
    <row r="77" spans="1:4" x14ac:dyDescent="0.25">
      <c r="A77" s="2">
        <f t="shared" si="10"/>
        <v>85</v>
      </c>
      <c r="B77" t="str">
        <f t="shared" si="7"/>
        <v>Away + Home score is 84 or less</v>
      </c>
      <c r="C77" t="str">
        <f t="shared" si="8"/>
        <v>Away + Home score is 86 or more</v>
      </c>
      <c r="D77" t="str">
        <f t="shared" si="9"/>
        <v>Away + Home score is 85</v>
      </c>
    </row>
    <row r="78" spans="1:4" x14ac:dyDescent="0.25">
      <c r="A78" s="2">
        <f t="shared" si="10"/>
        <v>86</v>
      </c>
      <c r="B78" t="str">
        <f t="shared" si="7"/>
        <v>Away + Home score is 85 or less</v>
      </c>
      <c r="C78" t="str">
        <f t="shared" si="8"/>
        <v>Away + Home score is 87 or more</v>
      </c>
      <c r="D78" t="str">
        <f t="shared" si="9"/>
        <v>Away + Home score is 86</v>
      </c>
    </row>
    <row r="79" spans="1:4" x14ac:dyDescent="0.25">
      <c r="A79" s="2">
        <f t="shared" si="10"/>
        <v>87</v>
      </c>
      <c r="B79" t="str">
        <f t="shared" si="7"/>
        <v>Away + Home score is 86 or less</v>
      </c>
      <c r="C79" t="str">
        <f t="shared" si="8"/>
        <v>Away + Home score is 88 or more</v>
      </c>
      <c r="D79" t="str">
        <f t="shared" si="9"/>
        <v>Away + Home score is 87</v>
      </c>
    </row>
    <row r="80" spans="1:4" x14ac:dyDescent="0.25">
      <c r="A80" s="2">
        <f t="shared" si="10"/>
        <v>88</v>
      </c>
      <c r="B80" t="str">
        <f t="shared" si="7"/>
        <v>Away + Home score is 87 or less</v>
      </c>
      <c r="C80" t="str">
        <f t="shared" si="8"/>
        <v>Away + Home score is 89 or more</v>
      </c>
      <c r="D80" t="str">
        <f t="shared" si="9"/>
        <v>Away + Home score is 88</v>
      </c>
    </row>
    <row r="81" spans="1:4" x14ac:dyDescent="0.25">
      <c r="A81" s="2">
        <f t="shared" si="10"/>
        <v>89</v>
      </c>
      <c r="B81" t="str">
        <f t="shared" si="7"/>
        <v>Away + Home score is 88 or less</v>
      </c>
      <c r="C81" t="str">
        <f t="shared" si="8"/>
        <v>Away + Home score is 90 or more</v>
      </c>
      <c r="D81" t="str">
        <f t="shared" si="9"/>
        <v>Away + Home score is 89</v>
      </c>
    </row>
    <row r="82" spans="1:4" x14ac:dyDescent="0.25">
      <c r="A82" s="2">
        <f t="shared" si="10"/>
        <v>90</v>
      </c>
      <c r="B82" t="str">
        <f t="shared" si="7"/>
        <v>Away + Home score is 89 or less</v>
      </c>
      <c r="C82" t="str">
        <f t="shared" si="8"/>
        <v>Away + Home score is 91 or more</v>
      </c>
      <c r="D82" t="str">
        <f t="shared" si="9"/>
        <v>Away + Home score is 90</v>
      </c>
    </row>
    <row r="83" spans="1:4" x14ac:dyDescent="0.25">
      <c r="A83" s="2">
        <f t="shared" si="10"/>
        <v>91</v>
      </c>
      <c r="B83" t="str">
        <f t="shared" si="7"/>
        <v>Away + Home score is 90 or less</v>
      </c>
      <c r="C83" t="str">
        <f t="shared" si="8"/>
        <v>Away + Home score is 92 or more</v>
      </c>
      <c r="D83" t="str">
        <f t="shared" si="9"/>
        <v>Away + Home score is 91</v>
      </c>
    </row>
    <row r="84" spans="1:4" x14ac:dyDescent="0.25">
      <c r="A84" s="2">
        <f t="shared" si="10"/>
        <v>92</v>
      </c>
      <c r="B84" t="str">
        <f t="shared" si="7"/>
        <v>Away + Home score is 91 or less</v>
      </c>
      <c r="C84" t="str">
        <f t="shared" si="8"/>
        <v>Away + Home score is 93 or more</v>
      </c>
      <c r="D84" t="str">
        <f t="shared" si="9"/>
        <v>Away + Home score is 92</v>
      </c>
    </row>
    <row r="85" spans="1:4" x14ac:dyDescent="0.25">
      <c r="A85" s="2">
        <f t="shared" si="10"/>
        <v>93</v>
      </c>
      <c r="B85" t="str">
        <f t="shared" si="7"/>
        <v>Away + Home score is 92 or less</v>
      </c>
      <c r="C85" t="str">
        <f t="shared" si="8"/>
        <v>Away + Home score is 94 or more</v>
      </c>
      <c r="D85" t="str">
        <f t="shared" si="9"/>
        <v>Away + Home score is 93</v>
      </c>
    </row>
    <row r="86" spans="1:4" x14ac:dyDescent="0.25">
      <c r="A86" s="2">
        <f t="shared" si="10"/>
        <v>94</v>
      </c>
      <c r="B86" t="str">
        <f t="shared" si="7"/>
        <v>Away + Home score is 93 or less</v>
      </c>
      <c r="C86" t="str">
        <f t="shared" si="8"/>
        <v>Away + Home score is 95 or more</v>
      </c>
      <c r="D86" t="str">
        <f t="shared" si="9"/>
        <v>Away + Home score is 94</v>
      </c>
    </row>
    <row r="87" spans="1:4" x14ac:dyDescent="0.25">
      <c r="A87" s="2">
        <f t="shared" si="10"/>
        <v>95</v>
      </c>
      <c r="B87" t="str">
        <f t="shared" si="7"/>
        <v>Away + Home score is 94 or less</v>
      </c>
      <c r="C87" t="str">
        <f t="shared" si="8"/>
        <v>Away + Home score is 96 or more</v>
      </c>
      <c r="D87" t="str">
        <f t="shared" si="9"/>
        <v>Away + Home score is 95</v>
      </c>
    </row>
    <row r="88" spans="1:4" x14ac:dyDescent="0.25">
      <c r="A88" s="2">
        <f t="shared" si="10"/>
        <v>96</v>
      </c>
      <c r="B88" t="str">
        <f t="shared" si="7"/>
        <v>Away + Home score is 95 or less</v>
      </c>
      <c r="C88" t="str">
        <f t="shared" si="8"/>
        <v>Away + Home score is 97 or more</v>
      </c>
      <c r="D88" t="str">
        <f t="shared" si="9"/>
        <v>Away + Home score is 96</v>
      </c>
    </row>
    <row r="89" spans="1:4" x14ac:dyDescent="0.25">
      <c r="A89" s="2">
        <f t="shared" si="10"/>
        <v>97</v>
      </c>
      <c r="B89" t="str">
        <f t="shared" si="7"/>
        <v>Away + Home score is 96 or less</v>
      </c>
      <c r="C89" t="str">
        <f t="shared" si="8"/>
        <v>Away + Home score is 98 or more</v>
      </c>
      <c r="D89" t="str">
        <f t="shared" si="9"/>
        <v>Away + Home score is 97</v>
      </c>
    </row>
    <row r="90" spans="1:4" x14ac:dyDescent="0.25">
      <c r="A90" s="2">
        <f t="shared" si="10"/>
        <v>98</v>
      </c>
      <c r="B90" t="str">
        <f t="shared" si="7"/>
        <v>Away + Home score is 97 or less</v>
      </c>
      <c r="C90" t="str">
        <f t="shared" si="8"/>
        <v>Away + Home score is 99 or more</v>
      </c>
      <c r="D90" t="str">
        <f t="shared" si="9"/>
        <v>Away + Home score is 98</v>
      </c>
    </row>
    <row r="91" spans="1:4" x14ac:dyDescent="0.25">
      <c r="A91" s="2">
        <f t="shared" si="10"/>
        <v>99</v>
      </c>
      <c r="B91" t="str">
        <f t="shared" si="7"/>
        <v>Away + Home score is 98 or less</v>
      </c>
      <c r="C91" t="str">
        <f t="shared" si="8"/>
        <v>Away + Home score is 100 or more</v>
      </c>
      <c r="D91" t="str">
        <f t="shared" si="9"/>
        <v>Away + Home score is 99</v>
      </c>
    </row>
    <row r="92" spans="1:4" x14ac:dyDescent="0.25">
      <c r="A92" s="2">
        <f t="shared" si="10"/>
        <v>100</v>
      </c>
      <c r="B92" t="str">
        <f t="shared" si="7"/>
        <v>Away + Home score is 99 or less</v>
      </c>
      <c r="C92" t="str">
        <f t="shared" si="8"/>
        <v>Away + Home score is 101 or more</v>
      </c>
      <c r="D92" t="str">
        <f t="shared" si="9"/>
        <v>Away + Home score is 100</v>
      </c>
    </row>
    <row r="94" spans="1:4" x14ac:dyDescent="0.25">
      <c r="A94" s="2">
        <v>10.5</v>
      </c>
      <c r="B94" t="str">
        <f t="shared" ref="B94:B125" si="11">"Away + Home score is "&amp;INT(A94)&amp;" or less"</f>
        <v>Away + Home score is 10 or less</v>
      </c>
      <c r="C94" t="str">
        <f t="shared" ref="C94:C125" si="12">"Away + Home score is "&amp;INT(A94)+1&amp;" or more"</f>
        <v>Away + Home score is 11 or more</v>
      </c>
      <c r="D94" t="str">
        <f t="shared" ref="D94:D125" si="13">impossible</f>
        <v>Michigan can win a game in regular time, not make-believe time…</v>
      </c>
    </row>
    <row r="95" spans="1:4" x14ac:dyDescent="0.25">
      <c r="A95" s="2">
        <f>A94+1</f>
        <v>11.5</v>
      </c>
      <c r="B95" t="str">
        <f t="shared" si="11"/>
        <v>Away + Home score is 11 or less</v>
      </c>
      <c r="C95" t="str">
        <f t="shared" si="12"/>
        <v>Away + Home score is 12 or more</v>
      </c>
      <c r="D95" t="str">
        <f t="shared" si="13"/>
        <v>Michigan can win a game in regular time, not make-believe time…</v>
      </c>
    </row>
    <row r="96" spans="1:4" x14ac:dyDescent="0.25">
      <c r="A96" s="2">
        <f t="shared" ref="A96:A159" si="14">A95+1</f>
        <v>12.5</v>
      </c>
      <c r="B96" t="str">
        <f t="shared" si="11"/>
        <v>Away + Home score is 12 or less</v>
      </c>
      <c r="C96" t="str">
        <f t="shared" si="12"/>
        <v>Away + Home score is 13 or more</v>
      </c>
      <c r="D96" t="str">
        <f t="shared" si="13"/>
        <v>Michigan can win a game in regular time, not make-believe time…</v>
      </c>
    </row>
    <row r="97" spans="1:4" x14ac:dyDescent="0.25">
      <c r="A97" s="2">
        <f t="shared" si="14"/>
        <v>13.5</v>
      </c>
      <c r="B97" t="str">
        <f t="shared" si="11"/>
        <v>Away + Home score is 13 or less</v>
      </c>
      <c r="C97" t="str">
        <f t="shared" si="12"/>
        <v>Away + Home score is 14 or more</v>
      </c>
      <c r="D97" t="str">
        <f t="shared" si="13"/>
        <v>Michigan can win a game in regular time, not make-believe time…</v>
      </c>
    </row>
    <row r="98" spans="1:4" x14ac:dyDescent="0.25">
      <c r="A98" s="2">
        <f t="shared" si="14"/>
        <v>14.5</v>
      </c>
      <c r="B98" t="str">
        <f t="shared" si="11"/>
        <v>Away + Home score is 14 or less</v>
      </c>
      <c r="C98" t="str">
        <f t="shared" si="12"/>
        <v>Away + Home score is 15 or more</v>
      </c>
      <c r="D98" t="str">
        <f t="shared" si="13"/>
        <v>Michigan can win a game in regular time, not make-believe time…</v>
      </c>
    </row>
    <row r="99" spans="1:4" x14ac:dyDescent="0.25">
      <c r="A99" s="2">
        <f t="shared" si="14"/>
        <v>15.5</v>
      </c>
      <c r="B99" t="str">
        <f t="shared" si="11"/>
        <v>Away + Home score is 15 or less</v>
      </c>
      <c r="C99" t="str">
        <f t="shared" si="12"/>
        <v>Away + Home score is 16 or more</v>
      </c>
      <c r="D99" t="str">
        <f t="shared" si="13"/>
        <v>Michigan can win a game in regular time, not make-believe time…</v>
      </c>
    </row>
    <row r="100" spans="1:4" x14ac:dyDescent="0.25">
      <c r="A100" s="2">
        <f t="shared" si="14"/>
        <v>16.5</v>
      </c>
      <c r="B100" t="str">
        <f t="shared" si="11"/>
        <v>Away + Home score is 16 or less</v>
      </c>
      <c r="C100" t="str">
        <f t="shared" si="12"/>
        <v>Away + Home score is 17 or more</v>
      </c>
      <c r="D100" t="str">
        <f t="shared" si="13"/>
        <v>Michigan can win a game in regular time, not make-believe time…</v>
      </c>
    </row>
    <row r="101" spans="1:4" x14ac:dyDescent="0.25">
      <c r="A101" s="2">
        <f t="shared" si="14"/>
        <v>17.5</v>
      </c>
      <c r="B101" t="str">
        <f t="shared" si="11"/>
        <v>Away + Home score is 17 or less</v>
      </c>
      <c r="C101" t="str">
        <f t="shared" si="12"/>
        <v>Away + Home score is 18 or more</v>
      </c>
      <c r="D101" t="str">
        <f t="shared" si="13"/>
        <v>Michigan can win a game in regular time, not make-believe time…</v>
      </c>
    </row>
    <row r="102" spans="1:4" x14ac:dyDescent="0.25">
      <c r="A102" s="2">
        <f t="shared" si="14"/>
        <v>18.5</v>
      </c>
      <c r="B102" t="str">
        <f t="shared" si="11"/>
        <v>Away + Home score is 18 or less</v>
      </c>
      <c r="C102" t="str">
        <f t="shared" si="12"/>
        <v>Away + Home score is 19 or more</v>
      </c>
      <c r="D102" t="str">
        <f t="shared" si="13"/>
        <v>Michigan can win a game in regular time, not make-believe time…</v>
      </c>
    </row>
    <row r="103" spans="1:4" x14ac:dyDescent="0.25">
      <c r="A103" s="2">
        <f t="shared" si="14"/>
        <v>19.5</v>
      </c>
      <c r="B103" t="str">
        <f t="shared" si="11"/>
        <v>Away + Home score is 19 or less</v>
      </c>
      <c r="C103" t="str">
        <f t="shared" si="12"/>
        <v>Away + Home score is 20 or more</v>
      </c>
      <c r="D103" t="str">
        <f t="shared" si="13"/>
        <v>Michigan can win a game in regular time, not make-believe time…</v>
      </c>
    </row>
    <row r="104" spans="1:4" x14ac:dyDescent="0.25">
      <c r="A104" s="2">
        <f t="shared" si="14"/>
        <v>20.5</v>
      </c>
      <c r="B104" t="str">
        <f t="shared" si="11"/>
        <v>Away + Home score is 20 or less</v>
      </c>
      <c r="C104" t="str">
        <f t="shared" si="12"/>
        <v>Away + Home score is 21 or more</v>
      </c>
      <c r="D104" t="str">
        <f t="shared" si="13"/>
        <v>Michigan can win a game in regular time, not make-believe time…</v>
      </c>
    </row>
    <row r="105" spans="1:4" x14ac:dyDescent="0.25">
      <c r="A105" s="2">
        <f t="shared" si="14"/>
        <v>21.5</v>
      </c>
      <c r="B105" t="str">
        <f t="shared" si="11"/>
        <v>Away + Home score is 21 or less</v>
      </c>
      <c r="C105" t="str">
        <f t="shared" si="12"/>
        <v>Away + Home score is 22 or more</v>
      </c>
      <c r="D105" t="str">
        <f t="shared" si="13"/>
        <v>Michigan can win a game in regular time, not make-believe time…</v>
      </c>
    </row>
    <row r="106" spans="1:4" x14ac:dyDescent="0.25">
      <c r="A106" s="2">
        <f t="shared" si="14"/>
        <v>22.5</v>
      </c>
      <c r="B106" t="str">
        <f t="shared" si="11"/>
        <v>Away + Home score is 22 or less</v>
      </c>
      <c r="C106" t="str">
        <f t="shared" si="12"/>
        <v>Away + Home score is 23 or more</v>
      </c>
      <c r="D106" t="str">
        <f t="shared" si="13"/>
        <v>Michigan can win a game in regular time, not make-believe time…</v>
      </c>
    </row>
    <row r="107" spans="1:4" x14ac:dyDescent="0.25">
      <c r="A107" s="2">
        <f t="shared" si="14"/>
        <v>23.5</v>
      </c>
      <c r="B107" t="str">
        <f t="shared" si="11"/>
        <v>Away + Home score is 23 or less</v>
      </c>
      <c r="C107" t="str">
        <f t="shared" si="12"/>
        <v>Away + Home score is 24 or more</v>
      </c>
      <c r="D107" t="str">
        <f t="shared" si="13"/>
        <v>Michigan can win a game in regular time, not make-believe time…</v>
      </c>
    </row>
    <row r="108" spans="1:4" x14ac:dyDescent="0.25">
      <c r="A108" s="2">
        <f t="shared" si="14"/>
        <v>24.5</v>
      </c>
      <c r="B108" t="str">
        <f t="shared" si="11"/>
        <v>Away + Home score is 24 or less</v>
      </c>
      <c r="C108" t="str">
        <f t="shared" si="12"/>
        <v>Away + Home score is 25 or more</v>
      </c>
      <c r="D108" t="str">
        <f t="shared" si="13"/>
        <v>Michigan can win a game in regular time, not make-believe time…</v>
      </c>
    </row>
    <row r="109" spans="1:4" x14ac:dyDescent="0.25">
      <c r="A109" s="2">
        <f t="shared" si="14"/>
        <v>25.5</v>
      </c>
      <c r="B109" t="str">
        <f t="shared" si="11"/>
        <v>Away + Home score is 25 or less</v>
      </c>
      <c r="C109" t="str">
        <f t="shared" si="12"/>
        <v>Away + Home score is 26 or more</v>
      </c>
      <c r="D109" t="str">
        <f t="shared" si="13"/>
        <v>Michigan can win a game in regular time, not make-believe time…</v>
      </c>
    </row>
    <row r="110" spans="1:4" x14ac:dyDescent="0.25">
      <c r="A110" s="2">
        <f t="shared" si="14"/>
        <v>26.5</v>
      </c>
      <c r="B110" t="str">
        <f t="shared" si="11"/>
        <v>Away + Home score is 26 or less</v>
      </c>
      <c r="C110" t="str">
        <f t="shared" si="12"/>
        <v>Away + Home score is 27 or more</v>
      </c>
      <c r="D110" t="str">
        <f t="shared" si="13"/>
        <v>Michigan can win a game in regular time, not make-believe time…</v>
      </c>
    </row>
    <row r="111" spans="1:4" x14ac:dyDescent="0.25">
      <c r="A111" s="2">
        <f t="shared" si="14"/>
        <v>27.5</v>
      </c>
      <c r="B111" t="str">
        <f t="shared" si="11"/>
        <v>Away + Home score is 27 or less</v>
      </c>
      <c r="C111" t="str">
        <f t="shared" si="12"/>
        <v>Away + Home score is 28 or more</v>
      </c>
      <c r="D111" t="str">
        <f t="shared" si="13"/>
        <v>Michigan can win a game in regular time, not make-believe time…</v>
      </c>
    </row>
    <row r="112" spans="1:4" x14ac:dyDescent="0.25">
      <c r="A112" s="2">
        <f t="shared" si="14"/>
        <v>28.5</v>
      </c>
      <c r="B112" t="str">
        <f t="shared" si="11"/>
        <v>Away + Home score is 28 or less</v>
      </c>
      <c r="C112" t="str">
        <f t="shared" si="12"/>
        <v>Away + Home score is 29 or more</v>
      </c>
      <c r="D112" t="str">
        <f t="shared" si="13"/>
        <v>Michigan can win a game in regular time, not make-believe time…</v>
      </c>
    </row>
    <row r="113" spans="1:4" x14ac:dyDescent="0.25">
      <c r="A113" s="2">
        <f t="shared" si="14"/>
        <v>29.5</v>
      </c>
      <c r="B113" t="str">
        <f t="shared" si="11"/>
        <v>Away + Home score is 29 or less</v>
      </c>
      <c r="C113" t="str">
        <f t="shared" si="12"/>
        <v>Away + Home score is 30 or more</v>
      </c>
      <c r="D113" t="str">
        <f t="shared" si="13"/>
        <v>Michigan can win a game in regular time, not make-believe time…</v>
      </c>
    </row>
    <row r="114" spans="1:4" x14ac:dyDescent="0.25">
      <c r="A114" s="2">
        <f t="shared" si="14"/>
        <v>30.5</v>
      </c>
      <c r="B114" t="str">
        <f t="shared" si="11"/>
        <v>Away + Home score is 30 or less</v>
      </c>
      <c r="C114" t="str">
        <f t="shared" si="12"/>
        <v>Away + Home score is 31 or more</v>
      </c>
      <c r="D114" t="str">
        <f t="shared" si="13"/>
        <v>Michigan can win a game in regular time, not make-believe time…</v>
      </c>
    </row>
    <row r="115" spans="1:4" x14ac:dyDescent="0.25">
      <c r="A115" s="2">
        <f t="shared" si="14"/>
        <v>31.5</v>
      </c>
      <c r="B115" t="str">
        <f t="shared" si="11"/>
        <v>Away + Home score is 31 or less</v>
      </c>
      <c r="C115" t="str">
        <f t="shared" si="12"/>
        <v>Away + Home score is 32 or more</v>
      </c>
      <c r="D115" t="str">
        <f t="shared" si="13"/>
        <v>Michigan can win a game in regular time, not make-believe time…</v>
      </c>
    </row>
    <row r="116" spans="1:4" x14ac:dyDescent="0.25">
      <c r="A116" s="2">
        <f t="shared" si="14"/>
        <v>32.5</v>
      </c>
      <c r="B116" t="str">
        <f t="shared" si="11"/>
        <v>Away + Home score is 32 or less</v>
      </c>
      <c r="C116" t="str">
        <f t="shared" si="12"/>
        <v>Away + Home score is 33 or more</v>
      </c>
      <c r="D116" t="str">
        <f t="shared" si="13"/>
        <v>Michigan can win a game in regular time, not make-believe time…</v>
      </c>
    </row>
    <row r="117" spans="1:4" x14ac:dyDescent="0.25">
      <c r="A117" s="2">
        <f t="shared" si="14"/>
        <v>33.5</v>
      </c>
      <c r="B117" t="str">
        <f t="shared" si="11"/>
        <v>Away + Home score is 33 or less</v>
      </c>
      <c r="C117" t="str">
        <f t="shared" si="12"/>
        <v>Away + Home score is 34 or more</v>
      </c>
      <c r="D117" t="str">
        <f t="shared" si="13"/>
        <v>Michigan can win a game in regular time, not make-believe time…</v>
      </c>
    </row>
    <row r="118" spans="1:4" x14ac:dyDescent="0.25">
      <c r="A118" s="2">
        <f t="shared" si="14"/>
        <v>34.5</v>
      </c>
      <c r="B118" t="str">
        <f t="shared" si="11"/>
        <v>Away + Home score is 34 or less</v>
      </c>
      <c r="C118" t="str">
        <f t="shared" si="12"/>
        <v>Away + Home score is 35 or more</v>
      </c>
      <c r="D118" t="str">
        <f t="shared" si="13"/>
        <v>Michigan can win a game in regular time, not make-believe time…</v>
      </c>
    </row>
    <row r="119" spans="1:4" x14ac:dyDescent="0.25">
      <c r="A119" s="2">
        <f t="shared" si="14"/>
        <v>35.5</v>
      </c>
      <c r="B119" t="str">
        <f t="shared" si="11"/>
        <v>Away + Home score is 35 or less</v>
      </c>
      <c r="C119" t="str">
        <f t="shared" si="12"/>
        <v>Away + Home score is 36 or more</v>
      </c>
      <c r="D119" t="str">
        <f t="shared" si="13"/>
        <v>Michigan can win a game in regular time, not make-believe time…</v>
      </c>
    </row>
    <row r="120" spans="1:4" x14ac:dyDescent="0.25">
      <c r="A120" s="2">
        <f t="shared" si="14"/>
        <v>36.5</v>
      </c>
      <c r="B120" t="str">
        <f t="shared" si="11"/>
        <v>Away + Home score is 36 or less</v>
      </c>
      <c r="C120" t="str">
        <f t="shared" si="12"/>
        <v>Away + Home score is 37 or more</v>
      </c>
      <c r="D120" t="str">
        <f t="shared" si="13"/>
        <v>Michigan can win a game in regular time, not make-believe time…</v>
      </c>
    </row>
    <row r="121" spans="1:4" x14ac:dyDescent="0.25">
      <c r="A121" s="2">
        <f t="shared" si="14"/>
        <v>37.5</v>
      </c>
      <c r="B121" t="str">
        <f t="shared" si="11"/>
        <v>Away + Home score is 37 or less</v>
      </c>
      <c r="C121" t="str">
        <f t="shared" si="12"/>
        <v>Away + Home score is 38 or more</v>
      </c>
      <c r="D121" t="str">
        <f t="shared" si="13"/>
        <v>Michigan can win a game in regular time, not make-believe time…</v>
      </c>
    </row>
    <row r="122" spans="1:4" x14ac:dyDescent="0.25">
      <c r="A122" s="2">
        <f t="shared" si="14"/>
        <v>38.5</v>
      </c>
      <c r="B122" t="str">
        <f t="shared" si="11"/>
        <v>Away + Home score is 38 or less</v>
      </c>
      <c r="C122" t="str">
        <f t="shared" si="12"/>
        <v>Away + Home score is 39 or more</v>
      </c>
      <c r="D122" t="str">
        <f t="shared" si="13"/>
        <v>Michigan can win a game in regular time, not make-believe time…</v>
      </c>
    </row>
    <row r="123" spans="1:4" x14ac:dyDescent="0.25">
      <c r="A123" s="2">
        <f t="shared" si="14"/>
        <v>39.5</v>
      </c>
      <c r="B123" t="str">
        <f t="shared" si="11"/>
        <v>Away + Home score is 39 or less</v>
      </c>
      <c r="C123" t="str">
        <f t="shared" si="12"/>
        <v>Away + Home score is 40 or more</v>
      </c>
      <c r="D123" t="str">
        <f t="shared" si="13"/>
        <v>Michigan can win a game in regular time, not make-believe time…</v>
      </c>
    </row>
    <row r="124" spans="1:4" x14ac:dyDescent="0.25">
      <c r="A124" s="2">
        <f t="shared" si="14"/>
        <v>40.5</v>
      </c>
      <c r="B124" t="str">
        <f t="shared" si="11"/>
        <v>Away + Home score is 40 or less</v>
      </c>
      <c r="C124" t="str">
        <f t="shared" si="12"/>
        <v>Away + Home score is 41 or more</v>
      </c>
      <c r="D124" t="str">
        <f t="shared" si="13"/>
        <v>Michigan can win a game in regular time, not make-believe time…</v>
      </c>
    </row>
    <row r="125" spans="1:4" x14ac:dyDescent="0.25">
      <c r="A125" s="2">
        <f t="shared" si="14"/>
        <v>41.5</v>
      </c>
      <c r="B125" t="str">
        <f t="shared" si="11"/>
        <v>Away + Home score is 41 or less</v>
      </c>
      <c r="C125" t="str">
        <f t="shared" si="12"/>
        <v>Away + Home score is 42 or more</v>
      </c>
      <c r="D125" t="str">
        <f t="shared" si="13"/>
        <v>Michigan can win a game in regular time, not make-believe time…</v>
      </c>
    </row>
    <row r="126" spans="1:4" x14ac:dyDescent="0.25">
      <c r="A126" s="2">
        <f t="shared" si="14"/>
        <v>42.5</v>
      </c>
      <c r="B126" t="str">
        <f t="shared" ref="B126:B157" si="15">"Away + Home score is "&amp;INT(A126)&amp;" or less"</f>
        <v>Away + Home score is 42 or less</v>
      </c>
      <c r="C126" t="str">
        <f t="shared" ref="C126:C157" si="16">"Away + Home score is "&amp;INT(A126)+1&amp;" or more"</f>
        <v>Away + Home score is 43 or more</v>
      </c>
      <c r="D126" t="str">
        <f t="shared" ref="D126:D157" si="17">impossible</f>
        <v>Michigan can win a game in regular time, not make-believe time…</v>
      </c>
    </row>
    <row r="127" spans="1:4" x14ac:dyDescent="0.25">
      <c r="A127" s="2">
        <f t="shared" si="14"/>
        <v>43.5</v>
      </c>
      <c r="B127" t="str">
        <f t="shared" si="15"/>
        <v>Away + Home score is 43 or less</v>
      </c>
      <c r="C127" t="str">
        <f t="shared" si="16"/>
        <v>Away + Home score is 44 or more</v>
      </c>
      <c r="D127" t="str">
        <f t="shared" si="17"/>
        <v>Michigan can win a game in regular time, not make-believe time…</v>
      </c>
    </row>
    <row r="128" spans="1:4" x14ac:dyDescent="0.25">
      <c r="A128" s="2">
        <f t="shared" si="14"/>
        <v>44.5</v>
      </c>
      <c r="B128" t="str">
        <f t="shared" si="15"/>
        <v>Away + Home score is 44 or less</v>
      </c>
      <c r="C128" t="str">
        <f t="shared" si="16"/>
        <v>Away + Home score is 45 or more</v>
      </c>
      <c r="D128" t="str">
        <f t="shared" si="17"/>
        <v>Michigan can win a game in regular time, not make-believe time…</v>
      </c>
    </row>
    <row r="129" spans="1:4" x14ac:dyDescent="0.25">
      <c r="A129" s="2">
        <f t="shared" si="14"/>
        <v>45.5</v>
      </c>
      <c r="B129" t="str">
        <f t="shared" si="15"/>
        <v>Away + Home score is 45 or less</v>
      </c>
      <c r="C129" t="str">
        <f t="shared" si="16"/>
        <v>Away + Home score is 46 or more</v>
      </c>
      <c r="D129" t="str">
        <f t="shared" si="17"/>
        <v>Michigan can win a game in regular time, not make-believe time…</v>
      </c>
    </row>
    <row r="130" spans="1:4" x14ac:dyDescent="0.25">
      <c r="A130" s="2">
        <f t="shared" si="14"/>
        <v>46.5</v>
      </c>
      <c r="B130" t="str">
        <f t="shared" si="15"/>
        <v>Away + Home score is 46 or less</v>
      </c>
      <c r="C130" t="str">
        <f t="shared" si="16"/>
        <v>Away + Home score is 47 or more</v>
      </c>
      <c r="D130" t="str">
        <f t="shared" si="17"/>
        <v>Michigan can win a game in regular time, not make-believe time…</v>
      </c>
    </row>
    <row r="131" spans="1:4" x14ac:dyDescent="0.25">
      <c r="A131" s="2">
        <f t="shared" si="14"/>
        <v>47.5</v>
      </c>
      <c r="B131" t="str">
        <f t="shared" si="15"/>
        <v>Away + Home score is 47 or less</v>
      </c>
      <c r="C131" t="str">
        <f t="shared" si="16"/>
        <v>Away + Home score is 48 or more</v>
      </c>
      <c r="D131" t="str">
        <f t="shared" si="17"/>
        <v>Michigan can win a game in regular time, not make-believe time…</v>
      </c>
    </row>
    <row r="132" spans="1:4" x14ac:dyDescent="0.25">
      <c r="A132" s="2">
        <f t="shared" si="14"/>
        <v>48.5</v>
      </c>
      <c r="B132" t="str">
        <f t="shared" si="15"/>
        <v>Away + Home score is 48 or less</v>
      </c>
      <c r="C132" t="str">
        <f t="shared" si="16"/>
        <v>Away + Home score is 49 or more</v>
      </c>
      <c r="D132" t="str">
        <f t="shared" si="17"/>
        <v>Michigan can win a game in regular time, not make-believe time…</v>
      </c>
    </row>
    <row r="133" spans="1:4" x14ac:dyDescent="0.25">
      <c r="A133" s="2">
        <f t="shared" si="14"/>
        <v>49.5</v>
      </c>
      <c r="B133" t="str">
        <f t="shared" si="15"/>
        <v>Away + Home score is 49 or less</v>
      </c>
      <c r="C133" t="str">
        <f t="shared" si="16"/>
        <v>Away + Home score is 50 or more</v>
      </c>
      <c r="D133" t="str">
        <f t="shared" si="17"/>
        <v>Michigan can win a game in regular time, not make-believe time…</v>
      </c>
    </row>
    <row r="134" spans="1:4" x14ac:dyDescent="0.25">
      <c r="A134" s="2">
        <f t="shared" si="14"/>
        <v>50.5</v>
      </c>
      <c r="B134" t="str">
        <f t="shared" si="15"/>
        <v>Away + Home score is 50 or less</v>
      </c>
      <c r="C134" t="str">
        <f t="shared" si="16"/>
        <v>Away + Home score is 51 or more</v>
      </c>
      <c r="D134" t="str">
        <f t="shared" si="17"/>
        <v>Michigan can win a game in regular time, not make-believe time…</v>
      </c>
    </row>
    <row r="135" spans="1:4" x14ac:dyDescent="0.25">
      <c r="A135" s="2">
        <f t="shared" si="14"/>
        <v>51.5</v>
      </c>
      <c r="B135" t="str">
        <f t="shared" si="15"/>
        <v>Away + Home score is 51 or less</v>
      </c>
      <c r="C135" t="str">
        <f t="shared" si="16"/>
        <v>Away + Home score is 52 or more</v>
      </c>
      <c r="D135" t="str">
        <f t="shared" si="17"/>
        <v>Michigan can win a game in regular time, not make-believe time…</v>
      </c>
    </row>
    <row r="136" spans="1:4" x14ac:dyDescent="0.25">
      <c r="A136" s="2">
        <f t="shared" si="14"/>
        <v>52.5</v>
      </c>
      <c r="B136" t="str">
        <f t="shared" si="15"/>
        <v>Away + Home score is 52 or less</v>
      </c>
      <c r="C136" t="str">
        <f t="shared" si="16"/>
        <v>Away + Home score is 53 or more</v>
      </c>
      <c r="D136" t="str">
        <f t="shared" si="17"/>
        <v>Michigan can win a game in regular time, not make-believe time…</v>
      </c>
    </row>
    <row r="137" spans="1:4" x14ac:dyDescent="0.25">
      <c r="A137" s="2">
        <f t="shared" si="14"/>
        <v>53.5</v>
      </c>
      <c r="B137" t="str">
        <f t="shared" si="15"/>
        <v>Away + Home score is 53 or less</v>
      </c>
      <c r="C137" t="str">
        <f t="shared" si="16"/>
        <v>Away + Home score is 54 or more</v>
      </c>
      <c r="D137" t="str">
        <f t="shared" si="17"/>
        <v>Michigan can win a game in regular time, not make-believe time…</v>
      </c>
    </row>
    <row r="138" spans="1:4" x14ac:dyDescent="0.25">
      <c r="A138" s="2">
        <f t="shared" si="14"/>
        <v>54.5</v>
      </c>
      <c r="B138" t="str">
        <f t="shared" si="15"/>
        <v>Away + Home score is 54 or less</v>
      </c>
      <c r="C138" t="str">
        <f t="shared" si="16"/>
        <v>Away + Home score is 55 or more</v>
      </c>
      <c r="D138" t="str">
        <f t="shared" si="17"/>
        <v>Michigan can win a game in regular time, not make-believe time…</v>
      </c>
    </row>
    <row r="139" spans="1:4" x14ac:dyDescent="0.25">
      <c r="A139" s="2">
        <f t="shared" si="14"/>
        <v>55.5</v>
      </c>
      <c r="B139" t="str">
        <f t="shared" si="15"/>
        <v>Away + Home score is 55 or less</v>
      </c>
      <c r="C139" t="str">
        <f t="shared" si="16"/>
        <v>Away + Home score is 56 or more</v>
      </c>
      <c r="D139" t="str">
        <f t="shared" si="17"/>
        <v>Michigan can win a game in regular time, not make-believe time…</v>
      </c>
    </row>
    <row r="140" spans="1:4" x14ac:dyDescent="0.25">
      <c r="A140" s="2">
        <f t="shared" si="14"/>
        <v>56.5</v>
      </c>
      <c r="B140" t="str">
        <f t="shared" si="15"/>
        <v>Away + Home score is 56 or less</v>
      </c>
      <c r="C140" t="str">
        <f t="shared" si="16"/>
        <v>Away + Home score is 57 or more</v>
      </c>
      <c r="D140" t="str">
        <f t="shared" si="17"/>
        <v>Michigan can win a game in regular time, not make-believe time…</v>
      </c>
    </row>
    <row r="141" spans="1:4" x14ac:dyDescent="0.25">
      <c r="A141" s="2">
        <f t="shared" si="14"/>
        <v>57.5</v>
      </c>
      <c r="B141" t="str">
        <f t="shared" si="15"/>
        <v>Away + Home score is 57 or less</v>
      </c>
      <c r="C141" t="str">
        <f t="shared" si="16"/>
        <v>Away + Home score is 58 or more</v>
      </c>
      <c r="D141" t="str">
        <f t="shared" si="17"/>
        <v>Michigan can win a game in regular time, not make-believe time…</v>
      </c>
    </row>
    <row r="142" spans="1:4" x14ac:dyDescent="0.25">
      <c r="A142" s="2">
        <f t="shared" si="14"/>
        <v>58.5</v>
      </c>
      <c r="B142" t="str">
        <f t="shared" si="15"/>
        <v>Away + Home score is 58 or less</v>
      </c>
      <c r="C142" t="str">
        <f t="shared" si="16"/>
        <v>Away + Home score is 59 or more</v>
      </c>
      <c r="D142" t="str">
        <f t="shared" si="17"/>
        <v>Michigan can win a game in regular time, not make-believe time…</v>
      </c>
    </row>
    <row r="143" spans="1:4" x14ac:dyDescent="0.25">
      <c r="A143" s="2">
        <f t="shared" si="14"/>
        <v>59.5</v>
      </c>
      <c r="B143" t="str">
        <f t="shared" si="15"/>
        <v>Away + Home score is 59 or less</v>
      </c>
      <c r="C143" t="str">
        <f t="shared" si="16"/>
        <v>Away + Home score is 60 or more</v>
      </c>
      <c r="D143" t="str">
        <f t="shared" si="17"/>
        <v>Michigan can win a game in regular time, not make-believe time…</v>
      </c>
    </row>
    <row r="144" spans="1:4" x14ac:dyDescent="0.25">
      <c r="A144" s="2">
        <f t="shared" si="14"/>
        <v>60.5</v>
      </c>
      <c r="B144" t="str">
        <f t="shared" si="15"/>
        <v>Away + Home score is 60 or less</v>
      </c>
      <c r="C144" t="str">
        <f t="shared" si="16"/>
        <v>Away + Home score is 61 or more</v>
      </c>
      <c r="D144" t="str">
        <f t="shared" si="17"/>
        <v>Michigan can win a game in regular time, not make-believe time…</v>
      </c>
    </row>
    <row r="145" spans="1:4" x14ac:dyDescent="0.25">
      <c r="A145" s="2">
        <f t="shared" si="14"/>
        <v>61.5</v>
      </c>
      <c r="B145" t="str">
        <f t="shared" si="15"/>
        <v>Away + Home score is 61 or less</v>
      </c>
      <c r="C145" t="str">
        <f t="shared" si="16"/>
        <v>Away + Home score is 62 or more</v>
      </c>
      <c r="D145" t="str">
        <f t="shared" si="17"/>
        <v>Michigan can win a game in regular time, not make-believe time…</v>
      </c>
    </row>
    <row r="146" spans="1:4" x14ac:dyDescent="0.25">
      <c r="A146" s="2">
        <f t="shared" si="14"/>
        <v>62.5</v>
      </c>
      <c r="B146" t="str">
        <f t="shared" si="15"/>
        <v>Away + Home score is 62 or less</v>
      </c>
      <c r="C146" t="str">
        <f t="shared" si="16"/>
        <v>Away + Home score is 63 or more</v>
      </c>
      <c r="D146" t="str">
        <f t="shared" si="17"/>
        <v>Michigan can win a game in regular time, not make-believe time…</v>
      </c>
    </row>
    <row r="147" spans="1:4" x14ac:dyDescent="0.25">
      <c r="A147" s="2">
        <f t="shared" si="14"/>
        <v>63.5</v>
      </c>
      <c r="B147" t="str">
        <f t="shared" si="15"/>
        <v>Away + Home score is 63 or less</v>
      </c>
      <c r="C147" t="str">
        <f t="shared" si="16"/>
        <v>Away + Home score is 64 or more</v>
      </c>
      <c r="D147" t="str">
        <f t="shared" si="17"/>
        <v>Michigan can win a game in regular time, not make-believe time…</v>
      </c>
    </row>
    <row r="148" spans="1:4" x14ac:dyDescent="0.25">
      <c r="A148" s="2">
        <f t="shared" si="14"/>
        <v>64.5</v>
      </c>
      <c r="B148" t="str">
        <f t="shared" si="15"/>
        <v>Away + Home score is 64 or less</v>
      </c>
      <c r="C148" t="str">
        <f t="shared" si="16"/>
        <v>Away + Home score is 65 or more</v>
      </c>
      <c r="D148" t="str">
        <f t="shared" si="17"/>
        <v>Michigan can win a game in regular time, not make-believe time…</v>
      </c>
    </row>
    <row r="149" spans="1:4" x14ac:dyDescent="0.25">
      <c r="A149" s="2">
        <f t="shared" si="14"/>
        <v>65.5</v>
      </c>
      <c r="B149" t="str">
        <f t="shared" si="15"/>
        <v>Away + Home score is 65 or less</v>
      </c>
      <c r="C149" t="str">
        <f t="shared" si="16"/>
        <v>Away + Home score is 66 or more</v>
      </c>
      <c r="D149" t="str">
        <f t="shared" si="17"/>
        <v>Michigan can win a game in regular time, not make-believe time…</v>
      </c>
    </row>
    <row r="150" spans="1:4" x14ac:dyDescent="0.25">
      <c r="A150" s="2">
        <f t="shared" si="14"/>
        <v>66.5</v>
      </c>
      <c r="B150" t="str">
        <f t="shared" si="15"/>
        <v>Away + Home score is 66 or less</v>
      </c>
      <c r="C150" t="str">
        <f t="shared" si="16"/>
        <v>Away + Home score is 67 or more</v>
      </c>
      <c r="D150" t="str">
        <f t="shared" si="17"/>
        <v>Michigan can win a game in regular time, not make-believe time…</v>
      </c>
    </row>
    <row r="151" spans="1:4" x14ac:dyDescent="0.25">
      <c r="A151" s="2">
        <f t="shared" si="14"/>
        <v>67.5</v>
      </c>
      <c r="B151" t="str">
        <f t="shared" si="15"/>
        <v>Away + Home score is 67 or less</v>
      </c>
      <c r="C151" t="str">
        <f t="shared" si="16"/>
        <v>Away + Home score is 68 or more</v>
      </c>
      <c r="D151" t="str">
        <f t="shared" si="17"/>
        <v>Michigan can win a game in regular time, not make-believe time…</v>
      </c>
    </row>
    <row r="152" spans="1:4" x14ac:dyDescent="0.25">
      <c r="A152" s="2">
        <f t="shared" si="14"/>
        <v>68.5</v>
      </c>
      <c r="B152" t="str">
        <f t="shared" si="15"/>
        <v>Away + Home score is 68 or less</v>
      </c>
      <c r="C152" t="str">
        <f t="shared" si="16"/>
        <v>Away + Home score is 69 or more</v>
      </c>
      <c r="D152" t="str">
        <f t="shared" si="17"/>
        <v>Michigan can win a game in regular time, not make-believe time…</v>
      </c>
    </row>
    <row r="153" spans="1:4" x14ac:dyDescent="0.25">
      <c r="A153" s="2">
        <f t="shared" si="14"/>
        <v>69.5</v>
      </c>
      <c r="B153" t="str">
        <f t="shared" si="15"/>
        <v>Away + Home score is 69 or less</v>
      </c>
      <c r="C153" t="str">
        <f t="shared" si="16"/>
        <v>Away + Home score is 70 or more</v>
      </c>
      <c r="D153" t="str">
        <f t="shared" si="17"/>
        <v>Michigan can win a game in regular time, not make-believe time…</v>
      </c>
    </row>
    <row r="154" spans="1:4" x14ac:dyDescent="0.25">
      <c r="A154" s="2">
        <f t="shared" si="14"/>
        <v>70.5</v>
      </c>
      <c r="B154" t="str">
        <f t="shared" si="15"/>
        <v>Away + Home score is 70 or less</v>
      </c>
      <c r="C154" t="str">
        <f t="shared" si="16"/>
        <v>Away + Home score is 71 or more</v>
      </c>
      <c r="D154" t="str">
        <f t="shared" si="17"/>
        <v>Michigan can win a game in regular time, not make-believe time…</v>
      </c>
    </row>
    <row r="155" spans="1:4" x14ac:dyDescent="0.25">
      <c r="A155" s="2">
        <f t="shared" si="14"/>
        <v>71.5</v>
      </c>
      <c r="B155" t="str">
        <f t="shared" si="15"/>
        <v>Away + Home score is 71 or less</v>
      </c>
      <c r="C155" t="str">
        <f t="shared" si="16"/>
        <v>Away + Home score is 72 or more</v>
      </c>
      <c r="D155" t="str">
        <f t="shared" si="17"/>
        <v>Michigan can win a game in regular time, not make-believe time…</v>
      </c>
    </row>
    <row r="156" spans="1:4" x14ac:dyDescent="0.25">
      <c r="A156" s="2">
        <f t="shared" si="14"/>
        <v>72.5</v>
      </c>
      <c r="B156" t="str">
        <f t="shared" si="15"/>
        <v>Away + Home score is 72 or less</v>
      </c>
      <c r="C156" t="str">
        <f t="shared" si="16"/>
        <v>Away + Home score is 73 or more</v>
      </c>
      <c r="D156" t="str">
        <f t="shared" si="17"/>
        <v>Michigan can win a game in regular time, not make-believe time…</v>
      </c>
    </row>
    <row r="157" spans="1:4" x14ac:dyDescent="0.25">
      <c r="A157" s="2">
        <f t="shared" si="14"/>
        <v>73.5</v>
      </c>
      <c r="B157" t="str">
        <f t="shared" si="15"/>
        <v>Away + Home score is 73 or less</v>
      </c>
      <c r="C157" t="str">
        <f t="shared" si="16"/>
        <v>Away + Home score is 74 or more</v>
      </c>
      <c r="D157" t="str">
        <f t="shared" si="17"/>
        <v>Michigan can win a game in regular time, not make-believe time…</v>
      </c>
    </row>
    <row r="158" spans="1:4" x14ac:dyDescent="0.25">
      <c r="A158" s="2">
        <f t="shared" si="14"/>
        <v>74.5</v>
      </c>
      <c r="B158" t="str">
        <f t="shared" ref="B158:B183" si="18">"Away + Home score is "&amp;INT(A158)&amp;" or less"</f>
        <v>Away + Home score is 74 or less</v>
      </c>
      <c r="C158" t="str">
        <f t="shared" ref="C158:C183" si="19">"Away + Home score is "&amp;INT(A158)+1&amp;" or more"</f>
        <v>Away + Home score is 75 or more</v>
      </c>
      <c r="D158" t="str">
        <f t="shared" ref="D158:D183" si="20">impossible</f>
        <v>Michigan can win a game in regular time, not make-believe time…</v>
      </c>
    </row>
    <row r="159" spans="1:4" x14ac:dyDescent="0.25">
      <c r="A159" s="2">
        <f t="shared" si="14"/>
        <v>75.5</v>
      </c>
      <c r="B159" t="str">
        <f t="shared" si="18"/>
        <v>Away + Home score is 75 or less</v>
      </c>
      <c r="C159" t="str">
        <f t="shared" si="19"/>
        <v>Away + Home score is 76 or more</v>
      </c>
      <c r="D159" t="str">
        <f t="shared" si="20"/>
        <v>Michigan can win a game in regular time, not make-believe time…</v>
      </c>
    </row>
    <row r="160" spans="1:4" x14ac:dyDescent="0.25">
      <c r="A160" s="2">
        <f t="shared" ref="A160:A183" si="21">A159+1</f>
        <v>76.5</v>
      </c>
      <c r="B160" t="str">
        <f t="shared" si="18"/>
        <v>Away + Home score is 76 or less</v>
      </c>
      <c r="C160" t="str">
        <f t="shared" si="19"/>
        <v>Away + Home score is 77 or more</v>
      </c>
      <c r="D160" t="str">
        <f t="shared" si="20"/>
        <v>Michigan can win a game in regular time, not make-believe time…</v>
      </c>
    </row>
    <row r="161" spans="1:4" x14ac:dyDescent="0.25">
      <c r="A161" s="2">
        <f t="shared" si="21"/>
        <v>77.5</v>
      </c>
      <c r="B161" t="str">
        <f t="shared" si="18"/>
        <v>Away + Home score is 77 or less</v>
      </c>
      <c r="C161" t="str">
        <f t="shared" si="19"/>
        <v>Away + Home score is 78 or more</v>
      </c>
      <c r="D161" t="str">
        <f t="shared" si="20"/>
        <v>Michigan can win a game in regular time, not make-believe time…</v>
      </c>
    </row>
    <row r="162" spans="1:4" x14ac:dyDescent="0.25">
      <c r="A162" s="2">
        <f t="shared" si="21"/>
        <v>78.5</v>
      </c>
      <c r="B162" t="str">
        <f t="shared" si="18"/>
        <v>Away + Home score is 78 or less</v>
      </c>
      <c r="C162" t="str">
        <f t="shared" si="19"/>
        <v>Away + Home score is 79 or more</v>
      </c>
      <c r="D162" t="str">
        <f t="shared" si="20"/>
        <v>Michigan can win a game in regular time, not make-believe time…</v>
      </c>
    </row>
    <row r="163" spans="1:4" x14ac:dyDescent="0.25">
      <c r="A163" s="2">
        <f t="shared" si="21"/>
        <v>79.5</v>
      </c>
      <c r="B163" t="str">
        <f t="shared" si="18"/>
        <v>Away + Home score is 79 or less</v>
      </c>
      <c r="C163" t="str">
        <f t="shared" si="19"/>
        <v>Away + Home score is 80 or more</v>
      </c>
      <c r="D163" t="str">
        <f t="shared" si="20"/>
        <v>Michigan can win a game in regular time, not make-believe time…</v>
      </c>
    </row>
    <row r="164" spans="1:4" x14ac:dyDescent="0.25">
      <c r="A164" s="2">
        <f t="shared" si="21"/>
        <v>80.5</v>
      </c>
      <c r="B164" t="str">
        <f t="shared" si="18"/>
        <v>Away + Home score is 80 or less</v>
      </c>
      <c r="C164" t="str">
        <f t="shared" si="19"/>
        <v>Away + Home score is 81 or more</v>
      </c>
      <c r="D164" t="str">
        <f t="shared" si="20"/>
        <v>Michigan can win a game in regular time, not make-believe time…</v>
      </c>
    </row>
    <row r="165" spans="1:4" x14ac:dyDescent="0.25">
      <c r="A165" s="2">
        <f t="shared" si="21"/>
        <v>81.5</v>
      </c>
      <c r="B165" t="str">
        <f t="shared" si="18"/>
        <v>Away + Home score is 81 or less</v>
      </c>
      <c r="C165" t="str">
        <f t="shared" si="19"/>
        <v>Away + Home score is 82 or more</v>
      </c>
      <c r="D165" t="str">
        <f t="shared" si="20"/>
        <v>Michigan can win a game in regular time, not make-believe time…</v>
      </c>
    </row>
    <row r="166" spans="1:4" x14ac:dyDescent="0.25">
      <c r="A166" s="2">
        <f t="shared" si="21"/>
        <v>82.5</v>
      </c>
      <c r="B166" t="str">
        <f t="shared" si="18"/>
        <v>Away + Home score is 82 or less</v>
      </c>
      <c r="C166" t="str">
        <f t="shared" si="19"/>
        <v>Away + Home score is 83 or more</v>
      </c>
      <c r="D166" t="str">
        <f t="shared" si="20"/>
        <v>Michigan can win a game in regular time, not make-believe time…</v>
      </c>
    </row>
    <row r="167" spans="1:4" x14ac:dyDescent="0.25">
      <c r="A167" s="2">
        <f t="shared" si="21"/>
        <v>83.5</v>
      </c>
      <c r="B167" t="str">
        <f t="shared" si="18"/>
        <v>Away + Home score is 83 or less</v>
      </c>
      <c r="C167" t="str">
        <f t="shared" si="19"/>
        <v>Away + Home score is 84 or more</v>
      </c>
      <c r="D167" t="str">
        <f t="shared" si="20"/>
        <v>Michigan can win a game in regular time, not make-believe time…</v>
      </c>
    </row>
    <row r="168" spans="1:4" x14ac:dyDescent="0.25">
      <c r="A168" s="2">
        <f t="shared" si="21"/>
        <v>84.5</v>
      </c>
      <c r="B168" t="str">
        <f t="shared" si="18"/>
        <v>Away + Home score is 84 or less</v>
      </c>
      <c r="C168" t="str">
        <f t="shared" si="19"/>
        <v>Away + Home score is 85 or more</v>
      </c>
      <c r="D168" t="str">
        <f t="shared" si="20"/>
        <v>Michigan can win a game in regular time, not make-believe time…</v>
      </c>
    </row>
    <row r="169" spans="1:4" x14ac:dyDescent="0.25">
      <c r="A169" s="2">
        <f t="shared" si="21"/>
        <v>85.5</v>
      </c>
      <c r="B169" t="str">
        <f t="shared" si="18"/>
        <v>Away + Home score is 85 or less</v>
      </c>
      <c r="C169" t="str">
        <f t="shared" si="19"/>
        <v>Away + Home score is 86 or more</v>
      </c>
      <c r="D169" t="str">
        <f t="shared" si="20"/>
        <v>Michigan can win a game in regular time, not make-believe time…</v>
      </c>
    </row>
    <row r="170" spans="1:4" x14ac:dyDescent="0.25">
      <c r="A170" s="2">
        <f t="shared" si="21"/>
        <v>86.5</v>
      </c>
      <c r="B170" t="str">
        <f t="shared" si="18"/>
        <v>Away + Home score is 86 or less</v>
      </c>
      <c r="C170" t="str">
        <f t="shared" si="19"/>
        <v>Away + Home score is 87 or more</v>
      </c>
      <c r="D170" t="str">
        <f t="shared" si="20"/>
        <v>Michigan can win a game in regular time, not make-believe time…</v>
      </c>
    </row>
    <row r="171" spans="1:4" x14ac:dyDescent="0.25">
      <c r="A171" s="2">
        <f t="shared" si="21"/>
        <v>87.5</v>
      </c>
      <c r="B171" t="str">
        <f t="shared" si="18"/>
        <v>Away + Home score is 87 or less</v>
      </c>
      <c r="C171" t="str">
        <f t="shared" si="19"/>
        <v>Away + Home score is 88 or more</v>
      </c>
      <c r="D171" t="str">
        <f t="shared" si="20"/>
        <v>Michigan can win a game in regular time, not make-believe time…</v>
      </c>
    </row>
    <row r="172" spans="1:4" x14ac:dyDescent="0.25">
      <c r="A172" s="2">
        <f t="shared" si="21"/>
        <v>88.5</v>
      </c>
      <c r="B172" t="str">
        <f t="shared" si="18"/>
        <v>Away + Home score is 88 or less</v>
      </c>
      <c r="C172" t="str">
        <f t="shared" si="19"/>
        <v>Away + Home score is 89 or more</v>
      </c>
      <c r="D172" t="str">
        <f t="shared" si="20"/>
        <v>Michigan can win a game in regular time, not make-believe time…</v>
      </c>
    </row>
    <row r="173" spans="1:4" x14ac:dyDescent="0.25">
      <c r="A173" s="2">
        <f t="shared" si="21"/>
        <v>89.5</v>
      </c>
      <c r="B173" t="str">
        <f t="shared" si="18"/>
        <v>Away + Home score is 89 or less</v>
      </c>
      <c r="C173" t="str">
        <f t="shared" si="19"/>
        <v>Away + Home score is 90 or more</v>
      </c>
      <c r="D173" t="str">
        <f t="shared" si="20"/>
        <v>Michigan can win a game in regular time, not make-believe time…</v>
      </c>
    </row>
    <row r="174" spans="1:4" x14ac:dyDescent="0.25">
      <c r="A174" s="2">
        <f t="shared" si="21"/>
        <v>90.5</v>
      </c>
      <c r="B174" t="str">
        <f t="shared" si="18"/>
        <v>Away + Home score is 90 or less</v>
      </c>
      <c r="C174" t="str">
        <f t="shared" si="19"/>
        <v>Away + Home score is 91 or more</v>
      </c>
      <c r="D174" t="str">
        <f t="shared" si="20"/>
        <v>Michigan can win a game in regular time, not make-believe time…</v>
      </c>
    </row>
    <row r="175" spans="1:4" x14ac:dyDescent="0.25">
      <c r="A175" s="2">
        <f t="shared" si="21"/>
        <v>91.5</v>
      </c>
      <c r="B175" t="str">
        <f t="shared" si="18"/>
        <v>Away + Home score is 91 or less</v>
      </c>
      <c r="C175" t="str">
        <f t="shared" si="19"/>
        <v>Away + Home score is 92 or more</v>
      </c>
      <c r="D175" t="str">
        <f t="shared" si="20"/>
        <v>Michigan can win a game in regular time, not make-believe time…</v>
      </c>
    </row>
    <row r="176" spans="1:4" x14ac:dyDescent="0.25">
      <c r="A176" s="2">
        <f t="shared" si="21"/>
        <v>92.5</v>
      </c>
      <c r="B176" t="str">
        <f t="shared" si="18"/>
        <v>Away + Home score is 92 or less</v>
      </c>
      <c r="C176" t="str">
        <f t="shared" si="19"/>
        <v>Away + Home score is 93 or more</v>
      </c>
      <c r="D176" t="str">
        <f t="shared" si="20"/>
        <v>Michigan can win a game in regular time, not make-believe time…</v>
      </c>
    </row>
    <row r="177" spans="1:4" x14ac:dyDescent="0.25">
      <c r="A177" s="2">
        <f t="shared" si="21"/>
        <v>93.5</v>
      </c>
      <c r="B177" t="str">
        <f t="shared" si="18"/>
        <v>Away + Home score is 93 or less</v>
      </c>
      <c r="C177" t="str">
        <f t="shared" si="19"/>
        <v>Away + Home score is 94 or more</v>
      </c>
      <c r="D177" t="str">
        <f t="shared" si="20"/>
        <v>Michigan can win a game in regular time, not make-believe time…</v>
      </c>
    </row>
    <row r="178" spans="1:4" x14ac:dyDescent="0.25">
      <c r="A178" s="2">
        <f t="shared" si="21"/>
        <v>94.5</v>
      </c>
      <c r="B178" t="str">
        <f t="shared" si="18"/>
        <v>Away + Home score is 94 or less</v>
      </c>
      <c r="C178" t="str">
        <f t="shared" si="19"/>
        <v>Away + Home score is 95 or more</v>
      </c>
      <c r="D178" t="str">
        <f t="shared" si="20"/>
        <v>Michigan can win a game in regular time, not make-believe time…</v>
      </c>
    </row>
    <row r="179" spans="1:4" x14ac:dyDescent="0.25">
      <c r="A179" s="2">
        <f t="shared" si="21"/>
        <v>95.5</v>
      </c>
      <c r="B179" t="str">
        <f t="shared" si="18"/>
        <v>Away + Home score is 95 or less</v>
      </c>
      <c r="C179" t="str">
        <f t="shared" si="19"/>
        <v>Away + Home score is 96 or more</v>
      </c>
      <c r="D179" t="str">
        <f t="shared" si="20"/>
        <v>Michigan can win a game in regular time, not make-believe time…</v>
      </c>
    </row>
    <row r="180" spans="1:4" x14ac:dyDescent="0.25">
      <c r="A180" s="2">
        <f t="shared" si="21"/>
        <v>96.5</v>
      </c>
      <c r="B180" t="str">
        <f t="shared" si="18"/>
        <v>Away + Home score is 96 or less</v>
      </c>
      <c r="C180" t="str">
        <f t="shared" si="19"/>
        <v>Away + Home score is 97 or more</v>
      </c>
      <c r="D180" t="str">
        <f t="shared" si="20"/>
        <v>Michigan can win a game in regular time, not make-believe time…</v>
      </c>
    </row>
    <row r="181" spans="1:4" x14ac:dyDescent="0.25">
      <c r="A181" s="2">
        <f t="shared" si="21"/>
        <v>97.5</v>
      </c>
      <c r="B181" t="str">
        <f t="shared" si="18"/>
        <v>Away + Home score is 97 or less</v>
      </c>
      <c r="C181" t="str">
        <f t="shared" si="19"/>
        <v>Away + Home score is 98 or more</v>
      </c>
      <c r="D181" t="str">
        <f t="shared" si="20"/>
        <v>Michigan can win a game in regular time, not make-believe time…</v>
      </c>
    </row>
    <row r="182" spans="1:4" x14ac:dyDescent="0.25">
      <c r="A182" s="2">
        <f t="shared" si="21"/>
        <v>98.5</v>
      </c>
      <c r="B182" t="str">
        <f t="shared" si="18"/>
        <v>Away + Home score is 98 or less</v>
      </c>
      <c r="C182" t="str">
        <f t="shared" si="19"/>
        <v>Away + Home score is 99 or more</v>
      </c>
      <c r="D182" t="str">
        <f t="shared" si="20"/>
        <v>Michigan can win a game in regular time, not make-believe time…</v>
      </c>
    </row>
    <row r="183" spans="1:4" x14ac:dyDescent="0.25">
      <c r="A183" s="2">
        <f t="shared" si="21"/>
        <v>99.5</v>
      </c>
      <c r="B183" t="str">
        <f t="shared" si="18"/>
        <v>Away + Home score is 99 or less</v>
      </c>
      <c r="C183" t="str">
        <f t="shared" si="19"/>
        <v>Away + Home score is 100 or more</v>
      </c>
      <c r="D183" t="str">
        <f t="shared" si="20"/>
        <v>Michigan can win a game in regular time, not make-believe time…</v>
      </c>
    </row>
  </sheetData>
  <sheetProtection password="E562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calcs</vt:lpstr>
      <vt:lpstr>line_desc</vt:lpstr>
      <vt:lpstr>o_u_desc</vt:lpstr>
      <vt:lpstr>a</vt:lpstr>
      <vt:lpstr>impossible</vt:lpstr>
      <vt:lpstr>Sheet1!Print_Area</vt:lpstr>
    </vt:vector>
  </TitlesOfParts>
  <Company>Ameriprise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Shouper</dc:creator>
  <cp:lastModifiedBy>Shoup, Michael E</cp:lastModifiedBy>
  <cp:lastPrinted>2017-09-05T19:05:09Z</cp:lastPrinted>
  <dcterms:created xsi:type="dcterms:W3CDTF">2011-09-06T12:41:07Z</dcterms:created>
  <dcterms:modified xsi:type="dcterms:W3CDTF">2026-09-07T16:33:33Z</dcterms:modified>
</cp:coreProperties>
</file>